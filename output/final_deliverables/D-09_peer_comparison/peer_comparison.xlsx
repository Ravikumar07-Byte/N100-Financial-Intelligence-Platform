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'Automobiles'!$A$1:$AP$9</definedName>
    <definedName name="_xlnm._FilterDatabase" localSheetId="1" hidden="1">'Consumer Finance'!$A$1:$AP$5</definedName>
    <definedName name="_xlnm._FilterDatabase" localSheetId="2" hidden="1">'FMCG'!$A$1:$AP$9</definedName>
    <definedName name="_xlnm._FilterDatabase" localSheetId="3" hidden="1">'IT Services'!$A$1:$AP$7</definedName>
    <definedName name="_xlnm._FilterDatabase" localSheetId="4" hidden="1">'Life Insurance'!$A$1:$AP$6</definedName>
    <definedName name="_xlnm._FilterDatabase" localSheetId="5" hidden="1">'Oil &amp; Gas'!$A$1:$AP$7</definedName>
    <definedName name="_xlnm._FilterDatabase" localSheetId="6" hidden="1">'Pharmaceuticals'!$A$1:$AP$7</definedName>
    <definedName name="_xlnm._FilterDatabase" localSheetId="7" hidden="1">'Power &amp; Utilities'!$A$1:$AP$9</definedName>
    <definedName name="_xlnm._FilterDatabase" localSheetId="8" hidden="1">'Private Banks'!$A$1:$AP$7</definedName>
    <definedName name="_xlnm._FilterDatabase" localSheetId="9" hidden="1">'Public Sector Banks'!$A$1:$AP$6</definedName>
    <definedName name="_xlnm._FilterDatabase" localSheetId="10" hidden="1">'Steel'!$A$1:$AP$6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D96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1F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3" borderId="2" applyAlignment="1" pivotButton="0" quotePrefix="0" xfId="0">
      <alignment horizontal="center" vertical="center" wrapText="1"/>
    </xf>
    <xf numFmtId="0" fontId="0" fillId="0" borderId="2" pivotButton="0" quotePrefix="0" xfId="0"/>
    <xf numFmtId="2" fontId="0" fillId="0" borderId="2" pivotButton="0" quotePrefix="0" xfId="0"/>
    <xf numFmtId="164" fontId="0" fillId="4" borderId="2" pivotButton="0" quotePrefix="0" xfId="0"/>
    <xf numFmtId="164" fontId="0" fillId="5" borderId="2" pivotButton="0" quotePrefix="0" xfId="0"/>
    <xf numFmtId="164" fontId="0" fillId="6" borderId="2" pivotButton="0" quotePrefix="0" xfId="0"/>
    <xf numFmtId="0" fontId="1" fillId="7" borderId="2" pivotButton="0" quotePrefix="0" xfId="0"/>
    <xf numFmtId="2" fontId="1" fillId="7" borderId="2" pivotButton="0" quotePrefix="0" xfId="0"/>
    <xf numFmtId="0" fontId="1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Operating Profit Margin</t>
        </is>
      </c>
      <c r="G1" s="1" t="inlineStr">
        <is>
          <t>D/E</t>
        </is>
      </c>
      <c r="H1" s="1" t="inlineStr">
        <is>
          <t>Interest Coverage</t>
        </is>
      </c>
      <c r="I1" s="1" t="inlineStr">
        <is>
          <t>Asset Turnover</t>
        </is>
      </c>
      <c r="J1" s="1" t="inlineStr">
        <is>
          <t>Free Cash Flow</t>
        </is>
      </c>
      <c r="K1" s="1" t="inlineStr">
        <is>
          <t>Cash From Operations</t>
        </is>
      </c>
      <c r="L1" s="1" t="inlineStr">
        <is>
          <t>PAT CAGR 5yr</t>
        </is>
      </c>
      <c r="M1" s="1" t="inlineStr">
        <is>
          <t>Revenue CAGR 5yr</t>
        </is>
      </c>
      <c r="N1" s="1" t="inlineStr">
        <is>
          <t>EPS CAGR 5yr</t>
        </is>
      </c>
      <c r="O1" s="1" t="inlineStr">
        <is>
          <t>Net Profit</t>
        </is>
      </c>
      <c r="P1" s="1" t="inlineStr">
        <is>
          <t>Sales</t>
        </is>
      </c>
      <c r="Q1" s="1" t="inlineStr">
        <is>
          <t>P/E</t>
        </is>
      </c>
      <c r="R1" s="1" t="inlineStr">
        <is>
          <t>P/B</t>
        </is>
      </c>
      <c r="S1" s="1" t="inlineStr">
        <is>
          <t>EV/EBITDA</t>
        </is>
      </c>
      <c r="T1" s="1" t="inlineStr">
        <is>
          <t>Dividend Yield</t>
        </is>
      </c>
      <c r="U1" s="1" t="inlineStr">
        <is>
          <t>Dividend Payout</t>
        </is>
      </c>
      <c r="V1" s="1" t="inlineStr">
        <is>
          <t>Composite Score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Operating Profit Margin Percentile</t>
        </is>
      </c>
      <c r="AA1" s="1" t="inlineStr">
        <is>
          <t>D/E Percentile</t>
        </is>
      </c>
      <c r="AB1" s="1" t="inlineStr">
        <is>
          <t>Interest Coverage Percentile</t>
        </is>
      </c>
      <c r="AC1" s="1" t="inlineStr">
        <is>
          <t>Asset Turnover Percentile</t>
        </is>
      </c>
      <c r="AD1" s="1" t="inlineStr">
        <is>
          <t>Free Cash Flow Percentile</t>
        </is>
      </c>
      <c r="AE1" s="1" t="inlineStr">
        <is>
          <t>Cash From Operations Percentile</t>
        </is>
      </c>
      <c r="AF1" s="1" t="inlineStr">
        <is>
          <t>PAT CAGR 5yr Percentile</t>
        </is>
      </c>
      <c r="AG1" s="1" t="inlineStr">
        <is>
          <t>Revenue CAGR 5yr Percentile</t>
        </is>
      </c>
      <c r="AH1" s="1" t="inlineStr">
        <is>
          <t>EPS CAGR 5yr Percentile</t>
        </is>
      </c>
      <c r="AI1" s="1" t="inlineStr">
        <is>
          <t>Net Profit Percentile</t>
        </is>
      </c>
      <c r="AJ1" s="1" t="inlineStr">
        <is>
          <t>Sales Percentile</t>
        </is>
      </c>
      <c r="AK1" s="1" t="inlineStr">
        <is>
          <t>P/E Percentile</t>
        </is>
      </c>
      <c r="AL1" s="1" t="inlineStr">
        <is>
          <t>P/B Percentile</t>
        </is>
      </c>
      <c r="AM1" s="1" t="inlineStr">
        <is>
          <t>EV/EBITDA Percentile</t>
        </is>
      </c>
      <c r="AN1" s="1" t="inlineStr">
        <is>
          <t>Dividend Yield Percentile</t>
        </is>
      </c>
      <c r="AO1" s="1" t="inlineStr">
        <is>
          <t>Dividend Payout Percentile</t>
        </is>
      </c>
      <c r="AP1" s="1" t="inlineStr">
        <is>
          <t>Composite Score Percentile</t>
        </is>
      </c>
    </row>
    <row r="2">
      <c r="A2" s="2" t="inlineStr">
        <is>
          <t>BAJAJ-AUTO</t>
        </is>
      </c>
      <c r="B2" s="2" t="inlineStr">
        <is>
          <t>Bajaj Auto Ltd</t>
        </is>
      </c>
      <c r="C2" s="3" t="n">
        <v>26.61418410330778</v>
      </c>
      <c r="D2" s="3" t="n">
        <v>28.38958346829047</v>
      </c>
      <c r="E2" s="3" t="n">
        <v>17.17851571205706</v>
      </c>
      <c r="F2" s="3" t="n">
        <v>19.53420993982616</v>
      </c>
      <c r="G2" s="3" t="n">
        <v>0.06601754022512257</v>
      </c>
      <c r="H2" s="3" t="n">
        <v>174.4166666666667</v>
      </c>
      <c r="I2" s="3" t="n">
        <v>1.140453436356242</v>
      </c>
      <c r="J2" s="3" t="n">
        <v>6486</v>
      </c>
      <c r="K2" s="3" t="n">
        <v>6558</v>
      </c>
      <c r="L2" s="3" t="n">
        <v>9.358917170384974</v>
      </c>
      <c r="M2" s="3" t="n">
        <v>8.127604751021389</v>
      </c>
      <c r="N2" s="3" t="n">
        <v>10.17727634846559</v>
      </c>
      <c r="O2" s="3" t="n">
        <v>7371</v>
      </c>
      <c r="P2" s="3" t="n">
        <v>48900</v>
      </c>
      <c r="Q2" s="3" t="n">
        <v>29.91</v>
      </c>
      <c r="R2" s="3" t="n">
        <v>9.83</v>
      </c>
      <c r="S2" s="3" t="n">
        <v>20.14</v>
      </c>
      <c r="T2" s="3" t="n">
        <v>3.59</v>
      </c>
      <c r="U2" s="2" t="inlineStr"/>
      <c r="V2" s="3" t="n">
        <v>74.34946621669033</v>
      </c>
      <c r="W2" s="4" t="n">
        <v>0.8333333333333334</v>
      </c>
      <c r="X2" s="5" t="n">
        <v>0.6666666666666666</v>
      </c>
      <c r="Y2" s="4" t="n">
        <v>0.8333333333333334</v>
      </c>
      <c r="Z2" s="5" t="n">
        <v>0.6666666666666666</v>
      </c>
      <c r="AA2" s="5" t="n">
        <v>0.5</v>
      </c>
      <c r="AB2" s="4" t="n">
        <v>1</v>
      </c>
      <c r="AC2" s="5" t="n">
        <v>0.5</v>
      </c>
      <c r="AD2" s="4" t="n">
        <v>0.8333333333333334</v>
      </c>
      <c r="AE2" s="5" t="n">
        <v>0.6666666666666666</v>
      </c>
      <c r="AF2" s="6" t="n">
        <v>0.2</v>
      </c>
      <c r="AG2" s="5" t="n">
        <v>0.5</v>
      </c>
      <c r="AH2" s="6" t="n">
        <v>0.2</v>
      </c>
      <c r="AI2" s="5" t="n">
        <v>0.5</v>
      </c>
      <c r="AJ2" s="5" t="n">
        <v>0.5</v>
      </c>
      <c r="AK2" s="5" t="n">
        <v>0.5</v>
      </c>
      <c r="AL2" s="5" t="n">
        <v>0.6666666666666666</v>
      </c>
      <c r="AM2" s="5" t="n">
        <v>0.5</v>
      </c>
      <c r="AN2" s="5" t="n">
        <v>0.6666666666666666</v>
      </c>
      <c r="AO2" s="2" t="inlineStr"/>
      <c r="AP2" s="4" t="n">
        <v>0.8333333333333334</v>
      </c>
    </row>
    <row r="3">
      <c r="A3" s="2" t="inlineStr">
        <is>
          <t>EICHERMOT</t>
        </is>
      </c>
      <c r="B3" s="2" t="inlineStr">
        <is>
          <t>Eicher Motors Ltd</t>
        </is>
      </c>
      <c r="C3" s="3" t="n">
        <v>22.17234691050152</v>
      </c>
      <c r="D3" s="3" t="n">
        <v>23.44562391681109</v>
      </c>
      <c r="E3" s="3" t="n">
        <v>24.19569424286405</v>
      </c>
      <c r="F3" s="3" t="n">
        <v>26.17924528301887</v>
      </c>
      <c r="G3" s="3" t="n">
        <v>0.02321972845663619</v>
      </c>
      <c r="H3" s="3" t="n">
        <v>114.7058823529412</v>
      </c>
      <c r="I3" s="3" t="n">
        <v>0.7153796236210254</v>
      </c>
      <c r="J3" s="3" t="n">
        <v>890</v>
      </c>
      <c r="K3" s="3" t="n">
        <v>3724</v>
      </c>
      <c r="L3" s="3" t="n">
        <v>12.6758416653777</v>
      </c>
      <c r="M3" s="3" t="n">
        <v>11.03693649673969</v>
      </c>
      <c r="N3" s="3" t="n">
        <v>12.50545162905032</v>
      </c>
      <c r="O3" s="3" t="n">
        <v>4268</v>
      </c>
      <c r="P3" s="3" t="n">
        <v>17091</v>
      </c>
      <c r="Q3" s="3" t="n">
        <v>15.62</v>
      </c>
      <c r="R3" s="3" t="n">
        <v>13.61</v>
      </c>
      <c r="S3" s="3" t="n">
        <v>19.29</v>
      </c>
      <c r="T3" s="3" t="n">
        <v>4.41</v>
      </c>
      <c r="U3" s="2" t="inlineStr"/>
      <c r="V3" s="3" t="n">
        <v>78.17710618624363</v>
      </c>
      <c r="W3" s="5" t="n">
        <v>0.5</v>
      </c>
      <c r="X3" s="5" t="n">
        <v>0.5</v>
      </c>
      <c r="Y3" s="4" t="n">
        <v>1</v>
      </c>
      <c r="Z3" s="4" t="n">
        <v>0.8333333333333334</v>
      </c>
      <c r="AA3" s="4" t="n">
        <v>0.8333333333333334</v>
      </c>
      <c r="AB3" s="5" t="n">
        <v>0.6666666666666666</v>
      </c>
      <c r="AC3" s="6" t="n">
        <v>0.1666666666666667</v>
      </c>
      <c r="AD3" s="5" t="n">
        <v>0.3333333333333333</v>
      </c>
      <c r="AE3" s="5" t="n">
        <v>0.3333333333333333</v>
      </c>
      <c r="AF3" s="5" t="n">
        <v>0.6</v>
      </c>
      <c r="AG3" s="4" t="n">
        <v>0.8333333333333334</v>
      </c>
      <c r="AH3" s="5" t="n">
        <v>0.6</v>
      </c>
      <c r="AI3" s="5" t="n">
        <v>0.3333333333333333</v>
      </c>
      <c r="AJ3" s="6" t="n">
        <v>0</v>
      </c>
      <c r="AK3" s="6" t="n">
        <v>0.1666666666666667</v>
      </c>
      <c r="AL3" s="4" t="n">
        <v>1</v>
      </c>
      <c r="AM3" s="5" t="n">
        <v>0.3333333333333333</v>
      </c>
      <c r="AN3" s="4" t="n">
        <v>1</v>
      </c>
      <c r="AO3" s="2" t="inlineStr"/>
      <c r="AP3" s="4" t="n">
        <v>1</v>
      </c>
    </row>
    <row r="4">
      <c r="A4" s="2" t="inlineStr">
        <is>
          <t>HEROMOTOCO</t>
        </is>
      </c>
      <c r="B4" s="2" t="inlineStr">
        <is>
          <t xml:space="preserve">Hero MotoCorp Ltd
</t>
        </is>
      </c>
      <c r="C4" s="3" t="n">
        <v>21.14243742584327</v>
      </c>
      <c r="D4" s="3" t="n">
        <v>177.8421196394428</v>
      </c>
      <c r="E4" s="3" t="n">
        <v>9.902352536452407</v>
      </c>
      <c r="F4" s="3" t="n">
        <v>86.14676228532112</v>
      </c>
      <c r="G4" s="3" t="n">
        <v>0.03423922255494661</v>
      </c>
      <c r="H4" s="3" t="n">
        <v>47.26850507982584</v>
      </c>
      <c r="I4" s="3" t="n">
        <v>1.444920276832486</v>
      </c>
      <c r="J4" s="3" t="n">
        <v>3095</v>
      </c>
      <c r="K4" s="3" t="n">
        <v>4923</v>
      </c>
      <c r="L4" s="3" t="n">
        <v>1.544181887188389</v>
      </c>
      <c r="M4" s="3" t="n">
        <v>2.153067797054464</v>
      </c>
      <c r="N4" s="3" t="n">
        <v>1.686343719746475</v>
      </c>
      <c r="O4" s="3" t="n">
        <v>4133</v>
      </c>
      <c r="P4" s="3" t="n">
        <v>40098</v>
      </c>
      <c r="Q4" s="3" t="n">
        <v>53.86</v>
      </c>
      <c r="R4" s="3" t="n">
        <v>12.6</v>
      </c>
      <c r="S4" s="3" t="n">
        <v>28.27</v>
      </c>
      <c r="T4" s="3" t="n">
        <v>1.91</v>
      </c>
      <c r="U4" s="2" t="inlineStr"/>
      <c r="V4" s="3" t="n">
        <v>61.99494828268031</v>
      </c>
      <c r="W4" s="5" t="n">
        <v>0.3333333333333333</v>
      </c>
      <c r="X4" s="4" t="n">
        <v>1</v>
      </c>
      <c r="Y4" s="5" t="n">
        <v>0.6666666666666666</v>
      </c>
      <c r="Z4" s="4" t="n">
        <v>1</v>
      </c>
      <c r="AA4" s="5" t="n">
        <v>0.6666666666666667</v>
      </c>
      <c r="AB4" s="5" t="n">
        <v>0.5</v>
      </c>
      <c r="AC4" s="4" t="n">
        <v>1</v>
      </c>
      <c r="AD4" s="5" t="n">
        <v>0.5</v>
      </c>
      <c r="AE4" s="5" t="n">
        <v>0.5</v>
      </c>
      <c r="AF4" s="6" t="n">
        <v>0</v>
      </c>
      <c r="AG4" s="6" t="n">
        <v>0</v>
      </c>
      <c r="AH4" s="6" t="n">
        <v>0</v>
      </c>
      <c r="AI4" s="6" t="n">
        <v>0.1666666666666667</v>
      </c>
      <c r="AJ4" s="6" t="n">
        <v>0.1666666666666667</v>
      </c>
      <c r="AK4" s="4" t="n">
        <v>0.8333333333333334</v>
      </c>
      <c r="AL4" s="4" t="n">
        <v>0.8333333333333334</v>
      </c>
      <c r="AM4" s="5" t="n">
        <v>0.6666666666666666</v>
      </c>
      <c r="AN4" s="6" t="n">
        <v>0.1666666666666667</v>
      </c>
      <c r="AO4" s="2" t="inlineStr"/>
      <c r="AP4" s="5" t="n">
        <v>0.3333333333333333</v>
      </c>
    </row>
    <row r="5">
      <c r="A5" s="2" t="inlineStr">
        <is>
          <t>M&amp;M</t>
        </is>
      </c>
      <c r="B5" s="2" t="inlineStr">
        <is>
          <t xml:space="preserve">Mahindra &amp; Mahindra Ltd
</t>
        </is>
      </c>
      <c r="C5" s="3" t="n">
        <v>18.53754343556428</v>
      </c>
      <c r="D5" s="3" t="n">
        <v>14.23726099166652</v>
      </c>
      <c r="E5" s="3" t="n">
        <v>8.822387437265419</v>
      </c>
      <c r="F5" s="3" t="n">
        <v>17.89787025985418</v>
      </c>
      <c r="G5" s="3" t="n">
        <v>1.641441305333132</v>
      </c>
      <c r="H5" s="3" t="n">
        <v>3.764690170940171</v>
      </c>
      <c r="I5" s="3" t="n">
        <v>0.5925222177725139</v>
      </c>
      <c r="J5" s="3" t="n">
        <v>-11245</v>
      </c>
      <c r="K5" s="3" t="n">
        <v>-5630</v>
      </c>
      <c r="L5" s="3" t="n">
        <v>15.31688706104797</v>
      </c>
      <c r="M5" s="3" t="n">
        <v>5.838805854237616</v>
      </c>
      <c r="N5" s="3" t="n">
        <v>16.17550991430385</v>
      </c>
      <c r="O5" s="3" t="n">
        <v>13009</v>
      </c>
      <c r="P5" s="3" t="n">
        <v>145893</v>
      </c>
      <c r="Q5" s="3" t="n">
        <v>14.22</v>
      </c>
      <c r="R5" s="3" t="n">
        <v>0.8100000000000001</v>
      </c>
      <c r="S5" s="3" t="n">
        <v>29.08</v>
      </c>
      <c r="T5" s="3" t="n">
        <v>2.37</v>
      </c>
      <c r="U5" s="2" t="inlineStr"/>
      <c r="V5" s="3" t="n">
        <v>50.62548661380637</v>
      </c>
      <c r="W5" s="6" t="n">
        <v>0.1666666666666667</v>
      </c>
      <c r="X5" s="6" t="n">
        <v>0</v>
      </c>
      <c r="Y5" s="5" t="n">
        <v>0.3333333333333333</v>
      </c>
      <c r="Z5" s="5" t="n">
        <v>0.5</v>
      </c>
      <c r="AA5" s="6" t="n">
        <v>0.1666666666666666</v>
      </c>
      <c r="AB5" s="6" t="n">
        <v>0.1666666666666667</v>
      </c>
      <c r="AC5" s="6" t="n">
        <v>0</v>
      </c>
      <c r="AD5" s="6" t="n">
        <v>0</v>
      </c>
      <c r="AE5" s="6" t="n">
        <v>0</v>
      </c>
      <c r="AF5" s="4" t="n">
        <v>0.8</v>
      </c>
      <c r="AG5" s="6" t="n">
        <v>0.1666666666666667</v>
      </c>
      <c r="AH5" s="4" t="n">
        <v>0.8</v>
      </c>
      <c r="AI5" s="5" t="n">
        <v>0.6666666666666666</v>
      </c>
      <c r="AJ5" s="4" t="n">
        <v>0.8333333333333334</v>
      </c>
      <c r="AK5" s="6" t="n">
        <v>0</v>
      </c>
      <c r="AL5" s="6" t="n">
        <v>0</v>
      </c>
      <c r="AM5" s="4" t="n">
        <v>0.8333333333333334</v>
      </c>
      <c r="AN5" s="5" t="n">
        <v>0.3333333333333333</v>
      </c>
      <c r="AO5" s="2" t="inlineStr"/>
      <c r="AP5" s="6" t="n">
        <v>0.1666666666666667</v>
      </c>
    </row>
    <row r="6">
      <c r="A6" s="7" t="inlineStr">
        <is>
          <t>MARUTI</t>
        </is>
      </c>
      <c r="B6" s="7" t="inlineStr">
        <is>
          <t>Maruti Suzuki India Ltd</t>
        </is>
      </c>
      <c r="C6" s="8" t="n">
        <v>15.75038535195478</v>
      </c>
      <c r="D6" s="8" t="n">
        <v>21.72001632557868</v>
      </c>
      <c r="E6" s="8" t="n">
        <v>9.50809964894472</v>
      </c>
      <c r="F6" s="8" t="n">
        <v>13.13003143989059</v>
      </c>
      <c r="G6" s="8" t="n">
        <v>0.001389602503619973</v>
      </c>
      <c r="H6" s="8" t="n">
        <v>117.9072164948454</v>
      </c>
      <c r="I6" s="8" t="n">
        <v>1.230295566502463</v>
      </c>
      <c r="J6" s="8" t="n">
        <v>4936</v>
      </c>
      <c r="K6" s="8" t="n">
        <v>16801</v>
      </c>
      <c r="L6" s="8" t="n">
        <v>12.00718203930038</v>
      </c>
      <c r="M6" s="8" t="n">
        <v>10.51021511264258</v>
      </c>
      <c r="N6" s="8" t="n">
        <v>11.1392224868865</v>
      </c>
      <c r="O6" s="8" t="n">
        <v>14021</v>
      </c>
      <c r="P6" s="8" t="n">
        <v>145213</v>
      </c>
      <c r="Q6" s="8" t="n">
        <v>20.78</v>
      </c>
      <c r="R6" s="8" t="n">
        <v>8.26</v>
      </c>
      <c r="S6" s="8" t="n">
        <v>29.97</v>
      </c>
      <c r="T6" s="8" t="n">
        <v>1.78</v>
      </c>
      <c r="U6" s="7" t="inlineStr"/>
      <c r="V6" s="8" t="n">
        <v>63.84024166568024</v>
      </c>
      <c r="W6" s="6" t="n">
        <v>0</v>
      </c>
      <c r="X6" s="5" t="n">
        <v>0.3333333333333333</v>
      </c>
      <c r="Y6" s="5" t="n">
        <v>0.5</v>
      </c>
      <c r="Z6" s="6" t="n">
        <v>0</v>
      </c>
      <c r="AA6" s="4" t="n">
        <v>1</v>
      </c>
      <c r="AB6" s="4" t="n">
        <v>0.8333333333333334</v>
      </c>
      <c r="AC6" s="4" t="n">
        <v>0.8333333333333334</v>
      </c>
      <c r="AD6" s="5" t="n">
        <v>0.6666666666666666</v>
      </c>
      <c r="AE6" s="4" t="n">
        <v>0.8333333333333334</v>
      </c>
      <c r="AF6" s="5" t="n">
        <v>0.4</v>
      </c>
      <c r="AG6" s="5" t="n">
        <v>0.6666666666666666</v>
      </c>
      <c r="AH6" s="5" t="n">
        <v>0.4</v>
      </c>
      <c r="AI6" s="4" t="n">
        <v>0.8333333333333334</v>
      </c>
      <c r="AJ6" s="5" t="n">
        <v>0.6666666666666666</v>
      </c>
      <c r="AK6" s="5" t="n">
        <v>0.3333333333333333</v>
      </c>
      <c r="AL6" s="5" t="n">
        <v>0.5</v>
      </c>
      <c r="AM6" s="4" t="n">
        <v>1</v>
      </c>
      <c r="AN6" s="6" t="n">
        <v>0</v>
      </c>
      <c r="AO6" s="2" t="inlineStr"/>
      <c r="AP6" s="5" t="n">
        <v>0.5</v>
      </c>
    </row>
    <row r="7">
      <c r="A7" s="2" t="inlineStr">
        <is>
          <t>TATAMOTORS</t>
        </is>
      </c>
      <c r="B7" s="2" t="inlineStr">
        <is>
          <t>Tata Motors Ltd</t>
        </is>
      </c>
      <c r="C7" s="3" t="n">
        <v>37.45613415294755</v>
      </c>
      <c r="D7" s="3" t="n">
        <v>30.98033093974399</v>
      </c>
      <c r="E7" s="3" t="n">
        <v>7.263066074788551</v>
      </c>
      <c r="F7" s="3" t="n">
        <v>13.59538554282896</v>
      </c>
      <c r="G7" s="3" t="n">
        <v>1.263124425916767</v>
      </c>
      <c r="H7" s="3" t="n">
        <v>6.530242339274985</v>
      </c>
      <c r="I7" s="3" t="n">
        <v>1.185123443593192</v>
      </c>
      <c r="J7" s="3" t="n">
        <v>45133</v>
      </c>
      <c r="K7" s="3" t="n">
        <v>67915</v>
      </c>
      <c r="L7" s="2" t="inlineStr"/>
      <c r="M7" s="3" t="n">
        <v>7.720159538623927</v>
      </c>
      <c r="N7" s="2" t="inlineStr"/>
      <c r="O7" s="3" t="n">
        <v>33816</v>
      </c>
      <c r="P7" s="3" t="n">
        <v>440061</v>
      </c>
      <c r="Q7" s="3" t="n">
        <v>67.06999999999999</v>
      </c>
      <c r="R7" s="3" t="n">
        <v>0.93</v>
      </c>
      <c r="S7" s="3" t="n">
        <v>15.35</v>
      </c>
      <c r="T7" s="3" t="n">
        <v>3.65</v>
      </c>
      <c r="U7" s="2" t="inlineStr"/>
      <c r="V7" s="3" t="n">
        <v>64.93631937194125</v>
      </c>
      <c r="W7" s="4" t="n">
        <v>1</v>
      </c>
      <c r="X7" s="4" t="n">
        <v>0.8333333333333334</v>
      </c>
      <c r="Y7" s="6" t="n">
        <v>0.1666666666666667</v>
      </c>
      <c r="Z7" s="6" t="n">
        <v>0.1666666666666667</v>
      </c>
      <c r="AA7" s="5" t="n">
        <v>0.3333333333333334</v>
      </c>
      <c r="AB7" s="5" t="n">
        <v>0.3333333333333333</v>
      </c>
      <c r="AC7" s="5" t="n">
        <v>0.6666666666666666</v>
      </c>
      <c r="AD7" s="4" t="n">
        <v>1</v>
      </c>
      <c r="AE7" s="4" t="n">
        <v>1</v>
      </c>
      <c r="AF7" s="2" t="inlineStr"/>
      <c r="AG7" s="5" t="n">
        <v>0.3333333333333333</v>
      </c>
      <c r="AH7" s="2" t="inlineStr"/>
      <c r="AI7" s="4" t="n">
        <v>1</v>
      </c>
      <c r="AJ7" s="4" t="n">
        <v>1</v>
      </c>
      <c r="AK7" s="4" t="n">
        <v>1</v>
      </c>
      <c r="AL7" s="6" t="n">
        <v>0.1666666666666667</v>
      </c>
      <c r="AM7" s="6" t="n">
        <v>0.1666666666666667</v>
      </c>
      <c r="AN7" s="4" t="n">
        <v>0.8333333333333334</v>
      </c>
      <c r="AO7" s="2" t="inlineStr"/>
      <c r="AP7" s="5" t="n">
        <v>0.6666666666666666</v>
      </c>
    </row>
    <row r="8">
      <c r="A8" s="2" t="inlineStr">
        <is>
          <t>TVSMOTOR</t>
        </is>
      </c>
      <c r="B8" s="2" t="inlineStr">
        <is>
          <t>TVS Motor Company Ltd</t>
        </is>
      </c>
      <c r="C8" s="3" t="n">
        <v>26.22346698113208</v>
      </c>
      <c r="D8" s="3" t="n">
        <v>16.77340652637999</v>
      </c>
      <c r="E8" s="3" t="n">
        <v>4.544641716694342</v>
      </c>
      <c r="F8" s="3" t="n">
        <v>14.05032571209605</v>
      </c>
      <c r="G8" s="3" t="n">
        <v>3.833431603773585</v>
      </c>
      <c r="H8" s="3" t="n">
        <v>2.907676348547718</v>
      </c>
      <c r="I8" s="3" t="n">
        <v>0.9314915286502951</v>
      </c>
      <c r="J8" s="3" t="n">
        <v>-2254</v>
      </c>
      <c r="K8" s="3" t="n">
        <v>-1253</v>
      </c>
      <c r="L8" s="3" t="n">
        <v>19.6651221066765</v>
      </c>
      <c r="M8" s="3" t="n">
        <v>14.19238770427707</v>
      </c>
      <c r="N8" s="3" t="n">
        <v>19.13578981670916</v>
      </c>
      <c r="O8" s="3" t="n">
        <v>2094</v>
      </c>
      <c r="P8" s="3" t="n">
        <v>42886</v>
      </c>
      <c r="Q8" s="3" t="n">
        <v>46.1</v>
      </c>
      <c r="R8" s="3" t="n">
        <v>5.62</v>
      </c>
      <c r="S8" s="3" t="n">
        <v>7.1</v>
      </c>
      <c r="T8" s="3" t="n">
        <v>3.07</v>
      </c>
      <c r="U8" s="2" t="inlineStr"/>
      <c r="V8" s="3" t="n">
        <v>46.27064324716552</v>
      </c>
      <c r="W8" s="5" t="n">
        <v>0.6666666666666666</v>
      </c>
      <c r="X8" s="6" t="n">
        <v>0.1666666666666667</v>
      </c>
      <c r="Y8" s="6" t="n">
        <v>0</v>
      </c>
      <c r="Z8" s="5" t="n">
        <v>0.3333333333333333</v>
      </c>
      <c r="AA8" s="6" t="n">
        <v>0</v>
      </c>
      <c r="AB8" s="6" t="n">
        <v>0</v>
      </c>
      <c r="AC8" s="5" t="n">
        <v>0.3333333333333333</v>
      </c>
      <c r="AD8" s="6" t="n">
        <v>0.1666666666666667</v>
      </c>
      <c r="AE8" s="6" t="n">
        <v>0.1666666666666667</v>
      </c>
      <c r="AF8" s="4" t="n">
        <v>1</v>
      </c>
      <c r="AG8" s="4" t="n">
        <v>1</v>
      </c>
      <c r="AH8" s="4" t="n">
        <v>1</v>
      </c>
      <c r="AI8" s="6" t="n">
        <v>0</v>
      </c>
      <c r="AJ8" s="5" t="n">
        <v>0.3333333333333333</v>
      </c>
      <c r="AK8" s="5" t="n">
        <v>0.6666666666666666</v>
      </c>
      <c r="AL8" s="5" t="n">
        <v>0.3333333333333333</v>
      </c>
      <c r="AM8" s="6" t="n">
        <v>0</v>
      </c>
      <c r="AN8" s="5" t="n">
        <v>0.5</v>
      </c>
      <c r="AO8" s="2" t="inlineStr"/>
      <c r="AP8" s="6" t="n">
        <v>0</v>
      </c>
    </row>
    <row r="9">
      <c r="A9" s="9" t="inlineStr">
        <is>
          <t>Peer Median</t>
        </is>
      </c>
      <c r="B9" s="9" t="inlineStr">
        <is>
          <t>Peer Group Median</t>
        </is>
      </c>
      <c r="C9" s="9">
        <f>MEDIAN(C2:C8)</f>
        <v/>
      </c>
      <c r="D9" s="9">
        <f>MEDIAN(D2:D8)</f>
        <v/>
      </c>
      <c r="E9" s="9">
        <f>MEDIAN(E2:E8)</f>
        <v/>
      </c>
      <c r="F9" s="9">
        <f>MEDIAN(F2:F8)</f>
        <v/>
      </c>
      <c r="G9" s="9">
        <f>MEDIAN(G2:G8)</f>
        <v/>
      </c>
      <c r="H9" s="9">
        <f>MEDIAN(H2:H8)</f>
        <v/>
      </c>
      <c r="I9" s="9">
        <f>MEDIAN(I2:I8)</f>
        <v/>
      </c>
      <c r="J9" s="9">
        <f>MEDIAN(J2:J8)</f>
        <v/>
      </c>
      <c r="K9" s="9">
        <f>MEDIAN(K2:K8)</f>
        <v/>
      </c>
      <c r="L9" s="9">
        <f>MEDIAN(L2:L8)</f>
        <v/>
      </c>
      <c r="M9" s="9">
        <f>MEDIAN(M2:M8)</f>
        <v/>
      </c>
      <c r="N9" s="9">
        <f>MEDIAN(N2:N8)</f>
        <v/>
      </c>
      <c r="O9" s="9">
        <f>MEDIAN(O2:O8)</f>
        <v/>
      </c>
      <c r="P9" s="9">
        <f>MEDIAN(P2:P8)</f>
        <v/>
      </c>
      <c r="Q9" s="9">
        <f>MEDIAN(Q2:Q8)</f>
        <v/>
      </c>
      <c r="R9" s="9">
        <f>MEDIAN(R2:R8)</f>
        <v/>
      </c>
      <c r="S9" s="9">
        <f>MEDIAN(S2:S8)</f>
        <v/>
      </c>
      <c r="T9" s="9">
        <f>MEDIAN(T2:T8)</f>
        <v/>
      </c>
      <c r="U9" s="9">
        <f>MEDIAN(U2:U8)</f>
        <v/>
      </c>
      <c r="V9" s="9">
        <f>MEDIAN(V2:V8)</f>
        <v/>
      </c>
      <c r="W9" s="9">
        <f>MEDIAN(W2:W8)</f>
        <v/>
      </c>
      <c r="X9" s="9">
        <f>MEDIAN(X2:X8)</f>
        <v/>
      </c>
      <c r="Y9" s="9">
        <f>MEDIAN(Y2:Y8)</f>
        <v/>
      </c>
      <c r="Z9" s="9">
        <f>MEDIAN(Z2:Z8)</f>
        <v/>
      </c>
      <c r="AA9" s="9">
        <f>MEDIAN(AA2:AA8)</f>
        <v/>
      </c>
      <c r="AB9" s="9">
        <f>MEDIAN(AB2:AB8)</f>
        <v/>
      </c>
      <c r="AC9" s="9">
        <f>MEDIAN(AC2:AC8)</f>
        <v/>
      </c>
      <c r="AD9" s="9">
        <f>MEDIAN(AD2:AD8)</f>
        <v/>
      </c>
      <c r="AE9" s="9">
        <f>MEDIAN(AE2:AE8)</f>
        <v/>
      </c>
      <c r="AF9" s="9">
        <f>MEDIAN(AF2:AF8)</f>
        <v/>
      </c>
      <c r="AG9" s="9">
        <f>MEDIAN(AG2:AG8)</f>
        <v/>
      </c>
      <c r="AH9" s="9">
        <f>MEDIAN(AH2:AH8)</f>
        <v/>
      </c>
      <c r="AI9" s="9">
        <f>MEDIAN(AI2:AI8)</f>
        <v/>
      </c>
      <c r="AJ9" s="9">
        <f>MEDIAN(AJ2:AJ8)</f>
        <v/>
      </c>
      <c r="AK9" s="9">
        <f>MEDIAN(AK2:AK8)</f>
        <v/>
      </c>
      <c r="AL9" s="9">
        <f>MEDIAN(AL2:AL8)</f>
        <v/>
      </c>
      <c r="AM9" s="9">
        <f>MEDIAN(AM2:AM8)</f>
        <v/>
      </c>
      <c r="AN9" s="9">
        <f>MEDIAN(AN2:AN8)</f>
        <v/>
      </c>
      <c r="AO9" s="9">
        <f>MEDIAN(AO2:AO8)</f>
        <v/>
      </c>
      <c r="AP9" s="9">
        <f>MEDIAN(AP2:AP8)</f>
        <v/>
      </c>
    </row>
  </sheetData>
  <autoFilter ref="A1:AP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Operating Profit Margin</t>
        </is>
      </c>
      <c r="G1" s="1" t="inlineStr">
        <is>
          <t>D/E</t>
        </is>
      </c>
      <c r="H1" s="1" t="inlineStr">
        <is>
          <t>Interest Coverage</t>
        </is>
      </c>
      <c r="I1" s="1" t="inlineStr">
        <is>
          <t>Asset Turnover</t>
        </is>
      </c>
      <c r="J1" s="1" t="inlineStr">
        <is>
          <t>Free Cash Flow</t>
        </is>
      </c>
      <c r="K1" s="1" t="inlineStr">
        <is>
          <t>Cash From Operations</t>
        </is>
      </c>
      <c r="L1" s="1" t="inlineStr">
        <is>
          <t>PAT CAGR 5yr</t>
        </is>
      </c>
      <c r="M1" s="1" t="inlineStr">
        <is>
          <t>Revenue CAGR 5yr</t>
        </is>
      </c>
      <c r="N1" s="1" t="inlineStr">
        <is>
          <t>EPS CAGR 5yr</t>
        </is>
      </c>
      <c r="O1" s="1" t="inlineStr">
        <is>
          <t>Net Profit</t>
        </is>
      </c>
      <c r="P1" s="1" t="inlineStr">
        <is>
          <t>Sales</t>
        </is>
      </c>
      <c r="Q1" s="1" t="inlineStr">
        <is>
          <t>P/E</t>
        </is>
      </c>
      <c r="R1" s="1" t="inlineStr">
        <is>
          <t>P/B</t>
        </is>
      </c>
      <c r="S1" s="1" t="inlineStr">
        <is>
          <t>EV/EBITDA</t>
        </is>
      </c>
      <c r="T1" s="1" t="inlineStr">
        <is>
          <t>Dividend Yield</t>
        </is>
      </c>
      <c r="U1" s="1" t="inlineStr">
        <is>
          <t>Dividend Payout</t>
        </is>
      </c>
      <c r="V1" s="1" t="inlineStr">
        <is>
          <t>Composite Score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Operating Profit Margin Percentile</t>
        </is>
      </c>
      <c r="AA1" s="1" t="inlineStr">
        <is>
          <t>D/E Percentile</t>
        </is>
      </c>
      <c r="AB1" s="1" t="inlineStr">
        <is>
          <t>Interest Coverage Percentile</t>
        </is>
      </c>
      <c r="AC1" s="1" t="inlineStr">
        <is>
          <t>Asset Turnover Percentile</t>
        </is>
      </c>
      <c r="AD1" s="1" t="inlineStr">
        <is>
          <t>Free Cash Flow Percentile</t>
        </is>
      </c>
      <c r="AE1" s="1" t="inlineStr">
        <is>
          <t>Cash From Operations Percentile</t>
        </is>
      </c>
      <c r="AF1" s="1" t="inlineStr">
        <is>
          <t>PAT CAGR 5yr Percentile</t>
        </is>
      </c>
      <c r="AG1" s="1" t="inlineStr">
        <is>
          <t>Revenue CAGR 5yr Percentile</t>
        </is>
      </c>
      <c r="AH1" s="1" t="inlineStr">
        <is>
          <t>EPS CAGR 5yr Percentile</t>
        </is>
      </c>
      <c r="AI1" s="1" t="inlineStr">
        <is>
          <t>Net Profit Percentile</t>
        </is>
      </c>
      <c r="AJ1" s="1" t="inlineStr">
        <is>
          <t>Sales Percentile</t>
        </is>
      </c>
      <c r="AK1" s="1" t="inlineStr">
        <is>
          <t>P/E Percentile</t>
        </is>
      </c>
      <c r="AL1" s="1" t="inlineStr">
        <is>
          <t>P/B Percentile</t>
        </is>
      </c>
      <c r="AM1" s="1" t="inlineStr">
        <is>
          <t>EV/EBITDA Percentile</t>
        </is>
      </c>
      <c r="AN1" s="1" t="inlineStr">
        <is>
          <t>Dividend Yield Percentile</t>
        </is>
      </c>
      <c r="AO1" s="1" t="inlineStr">
        <is>
          <t>Dividend Payout Percentile</t>
        </is>
      </c>
      <c r="AP1" s="1" t="inlineStr">
        <is>
          <t>Composite Score Percentile</t>
        </is>
      </c>
    </row>
    <row r="2">
      <c r="A2" s="7" t="inlineStr">
        <is>
          <t>BAJFINANCE</t>
        </is>
      </c>
      <c r="B2" s="7" t="inlineStr">
        <is>
          <t>Bajaj Finance Ltd</t>
        </is>
      </c>
      <c r="C2" s="8" t="n">
        <v>18.8419213518306</v>
      </c>
      <c r="D2" s="8" t="n">
        <v>4.350587230638684</v>
      </c>
      <c r="E2" s="8" t="n">
        <v>26.28792839991269</v>
      </c>
      <c r="F2" s="8" t="n">
        <v>29.28581823473769</v>
      </c>
      <c r="G2" s="8" t="n">
        <v>3.824788776468134</v>
      </c>
      <c r="H2" s="8" t="n">
        <v>2689.166666666667</v>
      </c>
      <c r="I2" s="8" t="n">
        <v>0.1463025160881669</v>
      </c>
      <c r="J2" s="8" t="n">
        <v>-79931</v>
      </c>
      <c r="K2" s="8" t="n">
        <v>-72760</v>
      </c>
      <c r="L2" s="8" t="n">
        <v>29.32313482597901</v>
      </c>
      <c r="M2" s="8" t="n">
        <v>24.35264273954201</v>
      </c>
      <c r="N2" s="8" t="n">
        <v>27.5561392815338</v>
      </c>
      <c r="O2" s="8" t="n">
        <v>15389</v>
      </c>
      <c r="P2" s="8" t="n">
        <v>62279</v>
      </c>
      <c r="Q2" s="8" t="n">
        <v>69.2</v>
      </c>
      <c r="R2" s="8" t="n">
        <v>4.11</v>
      </c>
      <c r="S2" s="8" t="n">
        <v>15.96</v>
      </c>
      <c r="T2" s="8" t="n">
        <v>0.27</v>
      </c>
      <c r="U2" s="7" t="inlineStr"/>
      <c r="V2" s="8" t="n">
        <v>71.02250655498433</v>
      </c>
      <c r="W2" s="4" t="n">
        <v>1</v>
      </c>
      <c r="X2" s="4" t="n">
        <v>1</v>
      </c>
      <c r="Y2" s="4" t="n">
        <v>1</v>
      </c>
      <c r="Z2" s="4" t="n">
        <v>1</v>
      </c>
      <c r="AA2" s="4" t="n">
        <v>1</v>
      </c>
      <c r="AB2" s="4" t="n">
        <v>1</v>
      </c>
      <c r="AC2" s="5" t="n">
        <v>0.5</v>
      </c>
      <c r="AD2" s="6" t="n">
        <v>0</v>
      </c>
      <c r="AE2" s="6" t="n">
        <v>0</v>
      </c>
      <c r="AF2" s="4" t="n">
        <v>1</v>
      </c>
      <c r="AG2" s="4" t="n">
        <v>1</v>
      </c>
      <c r="AH2" s="4" t="n">
        <v>1</v>
      </c>
      <c r="AI2" s="4" t="n">
        <v>1</v>
      </c>
      <c r="AJ2" s="4" t="n">
        <v>1</v>
      </c>
      <c r="AK2" s="4" t="n">
        <v>1</v>
      </c>
      <c r="AL2" s="6" t="n">
        <v>0</v>
      </c>
      <c r="AM2" s="5" t="n">
        <v>0.5</v>
      </c>
      <c r="AN2" s="6" t="n">
        <v>0</v>
      </c>
      <c r="AO2" s="2" t="inlineStr"/>
      <c r="AP2" s="4" t="n">
        <v>1</v>
      </c>
    </row>
    <row r="3">
      <c r="A3" s="2" t="inlineStr">
        <is>
          <t>CHOLAFIN</t>
        </is>
      </c>
      <c r="B3" s="2" t="inlineStr">
        <is>
          <t>Cholamandalam Investment &amp; Finance Company Ltd</t>
        </is>
      </c>
      <c r="C3" s="3" t="n">
        <v>17.45521359669269</v>
      </c>
      <c r="D3" s="3" t="n">
        <v>3.495209907313654</v>
      </c>
      <c r="E3" s="3" t="n">
        <v>17.84689244899024</v>
      </c>
      <c r="F3" s="3" t="n">
        <v>28.10102802275218</v>
      </c>
      <c r="G3" s="3" t="n">
        <v>6.863420609401317</v>
      </c>
      <c r="H3" s="3" t="n">
        <v>21.21176470588235</v>
      </c>
      <c r="I3" s="3" t="n">
        <v>0.1223019286981607</v>
      </c>
      <c r="J3" s="3" t="n">
        <v>-38538</v>
      </c>
      <c r="K3" s="3" t="n">
        <v>-35683</v>
      </c>
      <c r="L3" s="3" t="n">
        <v>23.36341725167208</v>
      </c>
      <c r="M3" s="3" t="n">
        <v>21.93916480497526</v>
      </c>
      <c r="N3" s="3" t="n">
        <v>22.27523876455795</v>
      </c>
      <c r="O3" s="3" t="n">
        <v>3852</v>
      </c>
      <c r="P3" s="3" t="n">
        <v>22502</v>
      </c>
      <c r="Q3" s="3" t="n">
        <v>16.79</v>
      </c>
      <c r="R3" s="3" t="n">
        <v>10.36</v>
      </c>
      <c r="S3" s="3" t="n">
        <v>13.52</v>
      </c>
      <c r="T3" s="3" t="n">
        <v>2.83</v>
      </c>
      <c r="U3" s="2" t="inlineStr"/>
      <c r="V3" s="3" t="n">
        <v>58.16084723377213</v>
      </c>
      <c r="W3" s="5" t="n">
        <v>0.5</v>
      </c>
      <c r="X3" s="6" t="n">
        <v>0</v>
      </c>
      <c r="Y3" s="6" t="n">
        <v>0</v>
      </c>
      <c r="Z3" s="6" t="n">
        <v>0</v>
      </c>
      <c r="AA3" s="6" t="n">
        <v>0</v>
      </c>
      <c r="AB3" s="5" t="n">
        <v>0.5</v>
      </c>
      <c r="AC3" s="6" t="n">
        <v>0</v>
      </c>
      <c r="AD3" s="5" t="n">
        <v>0.5</v>
      </c>
      <c r="AE3" s="5" t="n">
        <v>0.5</v>
      </c>
      <c r="AF3" s="6" t="n">
        <v>0</v>
      </c>
      <c r="AG3" s="5" t="n">
        <v>0.5</v>
      </c>
      <c r="AH3" s="5" t="n">
        <v>0.5</v>
      </c>
      <c r="AI3" s="6" t="n">
        <v>0</v>
      </c>
      <c r="AJ3" s="6" t="n">
        <v>0</v>
      </c>
      <c r="AK3" s="6" t="n">
        <v>0</v>
      </c>
      <c r="AL3" s="4" t="n">
        <v>1</v>
      </c>
      <c r="AM3" s="6" t="n">
        <v>0</v>
      </c>
      <c r="AN3" s="4" t="n">
        <v>1</v>
      </c>
      <c r="AO3" s="2" t="inlineStr"/>
      <c r="AP3" s="5" t="n">
        <v>0.5</v>
      </c>
    </row>
    <row r="4">
      <c r="A4" s="2" t="inlineStr">
        <is>
          <t>SHRIRAMFIN</t>
        </is>
      </c>
      <c r="B4" s="2" t="inlineStr">
        <is>
          <t xml:space="preserve">Shriram Finance Ltd
</t>
        </is>
      </c>
      <c r="C4" s="3" t="n">
        <v>15.11635033812082</v>
      </c>
      <c r="D4" s="3" t="n">
        <v>4.304889074344531</v>
      </c>
      <c r="E4" s="3" t="n">
        <v>20.33362647026492</v>
      </c>
      <c r="F4" s="3" t="n">
        <v>28.9188743541827</v>
      </c>
      <c r="G4" s="3" t="n">
        <v>3.994034363699512</v>
      </c>
      <c r="H4" s="3" t="n">
        <v>0.6766743648960739</v>
      </c>
      <c r="I4" s="3" t="n">
        <v>0.1465685998082702</v>
      </c>
      <c r="J4" s="3" t="n">
        <v>-31359</v>
      </c>
      <c r="K4" s="3" t="n">
        <v>-31101</v>
      </c>
      <c r="L4" s="3" t="n">
        <v>23.49387942502037</v>
      </c>
      <c r="M4" s="3" t="n">
        <v>18.55607005277675</v>
      </c>
      <c r="N4" s="3" t="n">
        <v>14.28965514115608</v>
      </c>
      <c r="O4" s="3" t="n">
        <v>9454</v>
      </c>
      <c r="P4" s="3" t="n">
        <v>39864</v>
      </c>
      <c r="Q4" s="3" t="n">
        <v>68.53</v>
      </c>
      <c r="R4" s="3" t="n">
        <v>7.91</v>
      </c>
      <c r="S4" s="3" t="n">
        <v>28.82</v>
      </c>
      <c r="T4" s="3" t="n">
        <v>1.86</v>
      </c>
      <c r="U4" s="2" t="inlineStr"/>
      <c r="V4" s="3" t="n">
        <v>42.73459124556125</v>
      </c>
      <c r="W4" s="6" t="n">
        <v>0</v>
      </c>
      <c r="X4" s="5" t="n">
        <v>0.5</v>
      </c>
      <c r="Y4" s="5" t="n">
        <v>0.5</v>
      </c>
      <c r="Z4" s="5" t="n">
        <v>0.5</v>
      </c>
      <c r="AA4" s="5" t="n">
        <v>0.5</v>
      </c>
      <c r="AB4" s="6" t="n">
        <v>0</v>
      </c>
      <c r="AC4" s="4" t="n">
        <v>1</v>
      </c>
      <c r="AD4" s="4" t="n">
        <v>1</v>
      </c>
      <c r="AE4" s="4" t="n">
        <v>1</v>
      </c>
      <c r="AF4" s="5" t="n">
        <v>0.5</v>
      </c>
      <c r="AG4" s="6" t="n">
        <v>0</v>
      </c>
      <c r="AH4" s="6" t="n">
        <v>0</v>
      </c>
      <c r="AI4" s="5" t="n">
        <v>0.5</v>
      </c>
      <c r="AJ4" s="5" t="n">
        <v>0.5</v>
      </c>
      <c r="AK4" s="5" t="n">
        <v>0.5</v>
      </c>
      <c r="AL4" s="5" t="n">
        <v>0.5</v>
      </c>
      <c r="AM4" s="4" t="n">
        <v>1</v>
      </c>
      <c r="AN4" s="5" t="n">
        <v>0.5</v>
      </c>
      <c r="AO4" s="2" t="inlineStr"/>
      <c r="AP4" s="6" t="n">
        <v>0</v>
      </c>
    </row>
    <row r="5">
      <c r="A5" s="9" t="inlineStr">
        <is>
          <t>Peer Median</t>
        </is>
      </c>
      <c r="B5" s="9" t="inlineStr">
        <is>
          <t>Peer Group Median</t>
        </is>
      </c>
      <c r="C5" s="9">
        <f>MEDIAN(C2:C4)</f>
        <v/>
      </c>
      <c r="D5" s="9">
        <f>MEDIAN(D2:D4)</f>
        <v/>
      </c>
      <c r="E5" s="9">
        <f>MEDIAN(E2:E4)</f>
        <v/>
      </c>
      <c r="F5" s="9">
        <f>MEDIAN(F2:F4)</f>
        <v/>
      </c>
      <c r="G5" s="9">
        <f>MEDIAN(G2:G4)</f>
        <v/>
      </c>
      <c r="H5" s="9">
        <f>MEDIAN(H2:H4)</f>
        <v/>
      </c>
      <c r="I5" s="9">
        <f>MEDIAN(I2:I4)</f>
        <v/>
      </c>
      <c r="J5" s="9">
        <f>MEDIAN(J2:J4)</f>
        <v/>
      </c>
      <c r="K5" s="9">
        <f>MEDIAN(K2:K4)</f>
        <v/>
      </c>
      <c r="L5" s="9">
        <f>MEDIAN(L2:L4)</f>
        <v/>
      </c>
      <c r="M5" s="9">
        <f>MEDIAN(M2:M4)</f>
        <v/>
      </c>
      <c r="N5" s="9">
        <f>MEDIAN(N2:N4)</f>
        <v/>
      </c>
      <c r="O5" s="9">
        <f>MEDIAN(O2:O4)</f>
        <v/>
      </c>
      <c r="P5" s="9">
        <f>MEDIAN(P2:P4)</f>
        <v/>
      </c>
      <c r="Q5" s="9">
        <f>MEDIAN(Q2:Q4)</f>
        <v/>
      </c>
      <c r="R5" s="9">
        <f>MEDIAN(R2:R4)</f>
        <v/>
      </c>
      <c r="S5" s="9">
        <f>MEDIAN(S2:S4)</f>
        <v/>
      </c>
      <c r="T5" s="9">
        <f>MEDIAN(T2:T4)</f>
        <v/>
      </c>
      <c r="U5" s="9">
        <f>MEDIAN(U2:U4)</f>
        <v/>
      </c>
      <c r="V5" s="9">
        <f>MEDIAN(V2:V4)</f>
        <v/>
      </c>
      <c r="W5" s="9">
        <f>MEDIAN(W2:W4)</f>
        <v/>
      </c>
      <c r="X5" s="9">
        <f>MEDIAN(X2:X4)</f>
        <v/>
      </c>
      <c r="Y5" s="9">
        <f>MEDIAN(Y2:Y4)</f>
        <v/>
      </c>
      <c r="Z5" s="9">
        <f>MEDIAN(Z2:Z4)</f>
        <v/>
      </c>
      <c r="AA5" s="9">
        <f>MEDIAN(AA2:AA4)</f>
        <v/>
      </c>
      <c r="AB5" s="9">
        <f>MEDIAN(AB2:AB4)</f>
        <v/>
      </c>
      <c r="AC5" s="9">
        <f>MEDIAN(AC2:AC4)</f>
        <v/>
      </c>
      <c r="AD5" s="9">
        <f>MEDIAN(AD2:AD4)</f>
        <v/>
      </c>
      <c r="AE5" s="9">
        <f>MEDIAN(AE2:AE4)</f>
        <v/>
      </c>
      <c r="AF5" s="9">
        <f>MEDIAN(AF2:AF4)</f>
        <v/>
      </c>
      <c r="AG5" s="9">
        <f>MEDIAN(AG2:AG4)</f>
        <v/>
      </c>
      <c r="AH5" s="9">
        <f>MEDIAN(AH2:AH4)</f>
        <v/>
      </c>
      <c r="AI5" s="9">
        <f>MEDIAN(AI2:AI4)</f>
        <v/>
      </c>
      <c r="AJ5" s="9">
        <f>MEDIAN(AJ2:AJ4)</f>
        <v/>
      </c>
      <c r="AK5" s="9">
        <f>MEDIAN(AK2:AK4)</f>
        <v/>
      </c>
      <c r="AL5" s="9">
        <f>MEDIAN(AL2:AL4)</f>
        <v/>
      </c>
      <c r="AM5" s="9">
        <f>MEDIAN(AM2:AM4)</f>
        <v/>
      </c>
      <c r="AN5" s="9">
        <f>MEDIAN(AN2:AN4)</f>
        <v/>
      </c>
      <c r="AO5" s="9">
        <f>MEDIAN(AO2:AO4)</f>
        <v/>
      </c>
      <c r="AP5" s="9">
        <f>MEDIAN(AP2:AP4)</f>
        <v/>
      </c>
    </row>
  </sheetData>
  <autoFilter ref="A1:AP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Operating Profit Margin</t>
        </is>
      </c>
      <c r="G1" s="1" t="inlineStr">
        <is>
          <t>D/E</t>
        </is>
      </c>
      <c r="H1" s="1" t="inlineStr">
        <is>
          <t>Interest Coverage</t>
        </is>
      </c>
      <c r="I1" s="1" t="inlineStr">
        <is>
          <t>Asset Turnover</t>
        </is>
      </c>
      <c r="J1" s="1" t="inlineStr">
        <is>
          <t>Free Cash Flow</t>
        </is>
      </c>
      <c r="K1" s="1" t="inlineStr">
        <is>
          <t>Cash From Operations</t>
        </is>
      </c>
      <c r="L1" s="1" t="inlineStr">
        <is>
          <t>PAT CAGR 5yr</t>
        </is>
      </c>
      <c r="M1" s="1" t="inlineStr">
        <is>
          <t>Revenue CAGR 5yr</t>
        </is>
      </c>
      <c r="N1" s="1" t="inlineStr">
        <is>
          <t>EPS CAGR 5yr</t>
        </is>
      </c>
      <c r="O1" s="1" t="inlineStr">
        <is>
          <t>Net Profit</t>
        </is>
      </c>
      <c r="P1" s="1" t="inlineStr">
        <is>
          <t>Sales</t>
        </is>
      </c>
      <c r="Q1" s="1" t="inlineStr">
        <is>
          <t>P/E</t>
        </is>
      </c>
      <c r="R1" s="1" t="inlineStr">
        <is>
          <t>P/B</t>
        </is>
      </c>
      <c r="S1" s="1" t="inlineStr">
        <is>
          <t>EV/EBITDA</t>
        </is>
      </c>
      <c r="T1" s="1" t="inlineStr">
        <is>
          <t>Dividend Yield</t>
        </is>
      </c>
      <c r="U1" s="1" t="inlineStr">
        <is>
          <t>Dividend Payout</t>
        </is>
      </c>
      <c r="V1" s="1" t="inlineStr">
        <is>
          <t>Composite Score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Operating Profit Margin Percentile</t>
        </is>
      </c>
      <c r="AA1" s="1" t="inlineStr">
        <is>
          <t>D/E Percentile</t>
        </is>
      </c>
      <c r="AB1" s="1" t="inlineStr">
        <is>
          <t>Interest Coverage Percentile</t>
        </is>
      </c>
      <c r="AC1" s="1" t="inlineStr">
        <is>
          <t>Asset Turnover Percentile</t>
        </is>
      </c>
      <c r="AD1" s="1" t="inlineStr">
        <is>
          <t>Free Cash Flow Percentile</t>
        </is>
      </c>
      <c r="AE1" s="1" t="inlineStr">
        <is>
          <t>Cash From Operations Percentile</t>
        </is>
      </c>
      <c r="AF1" s="1" t="inlineStr">
        <is>
          <t>PAT CAGR 5yr Percentile</t>
        </is>
      </c>
      <c r="AG1" s="1" t="inlineStr">
        <is>
          <t>Revenue CAGR 5yr Percentile</t>
        </is>
      </c>
      <c r="AH1" s="1" t="inlineStr">
        <is>
          <t>EPS CAGR 5yr Percentile</t>
        </is>
      </c>
      <c r="AI1" s="1" t="inlineStr">
        <is>
          <t>Net Profit Percentile</t>
        </is>
      </c>
      <c r="AJ1" s="1" t="inlineStr">
        <is>
          <t>Sales Percentile</t>
        </is>
      </c>
      <c r="AK1" s="1" t="inlineStr">
        <is>
          <t>P/E Percentile</t>
        </is>
      </c>
      <c r="AL1" s="1" t="inlineStr">
        <is>
          <t>P/B Percentile</t>
        </is>
      </c>
      <c r="AM1" s="1" t="inlineStr">
        <is>
          <t>EV/EBITDA Percentile</t>
        </is>
      </c>
      <c r="AN1" s="1" t="inlineStr">
        <is>
          <t>Dividend Yield Percentile</t>
        </is>
      </c>
      <c r="AO1" s="1" t="inlineStr">
        <is>
          <t>Dividend Payout Percentile</t>
        </is>
      </c>
      <c r="AP1" s="1" t="inlineStr">
        <is>
          <t>Composite Score Percentile</t>
        </is>
      </c>
    </row>
    <row r="2">
      <c r="A2" s="2" t="inlineStr">
        <is>
          <t>BRITANNIA</t>
        </is>
      </c>
      <c r="B2" s="2" t="inlineStr">
        <is>
          <t>Britannia Industries Ltd</t>
        </is>
      </c>
      <c r="C2" s="3" t="n">
        <v>54.14869322506978</v>
      </c>
      <c r="D2" s="3" t="n">
        <v>52.73060273060273</v>
      </c>
      <c r="E2" s="3" t="n">
        <v>12.72586319995229</v>
      </c>
      <c r="F2" s="3" t="n">
        <v>18.88603971614288</v>
      </c>
      <c r="G2" s="3" t="n">
        <v>0.5239786856127886</v>
      </c>
      <c r="H2" s="3" t="n">
        <v>20.59756097560976</v>
      </c>
      <c r="I2" s="3" t="n">
        <v>1.848434744268078</v>
      </c>
      <c r="J2" s="3" t="n">
        <v>3050</v>
      </c>
      <c r="K2" s="3" t="n">
        <v>2573</v>
      </c>
      <c r="L2" s="3" t="n">
        <v>13.0635158274542</v>
      </c>
      <c r="M2" s="3" t="n">
        <v>8.690023727476138</v>
      </c>
      <c r="N2" s="3" t="n">
        <v>13.14353769849137</v>
      </c>
      <c r="O2" s="3" t="n">
        <v>2129</v>
      </c>
      <c r="P2" s="3" t="n">
        <v>17244</v>
      </c>
      <c r="Q2" s="3" t="n">
        <v>63.91</v>
      </c>
      <c r="R2" s="3" t="n">
        <v>4.26</v>
      </c>
      <c r="S2" s="3" t="n">
        <v>33.95</v>
      </c>
      <c r="T2" s="3" t="n">
        <v>1.88</v>
      </c>
      <c r="U2" s="2" t="inlineStr"/>
      <c r="V2" s="3" t="n">
        <v>72.18134320916781</v>
      </c>
      <c r="W2" s="4" t="n">
        <v>0.8333333333333334</v>
      </c>
      <c r="X2" s="5" t="n">
        <v>0.6666666666666666</v>
      </c>
      <c r="Y2" s="5" t="n">
        <v>0.3333333333333333</v>
      </c>
      <c r="Z2" s="6" t="n">
        <v>0.1666666666666667</v>
      </c>
      <c r="AA2" s="6" t="n">
        <v>0</v>
      </c>
      <c r="AB2" s="6" t="n">
        <v>0.1666666666666667</v>
      </c>
      <c r="AC2" s="4" t="n">
        <v>0.8333333333333334</v>
      </c>
      <c r="AD2" s="5" t="n">
        <v>0.6666666666666666</v>
      </c>
      <c r="AE2" s="5" t="n">
        <v>0.5</v>
      </c>
      <c r="AF2" s="5" t="n">
        <v>0.6</v>
      </c>
      <c r="AG2" s="5" t="n">
        <v>0.5</v>
      </c>
      <c r="AH2" s="5" t="n">
        <v>0.6</v>
      </c>
      <c r="AI2" s="5" t="n">
        <v>0.5</v>
      </c>
      <c r="AJ2" s="5" t="n">
        <v>0.5</v>
      </c>
      <c r="AK2" s="4" t="n">
        <v>1</v>
      </c>
      <c r="AL2" s="6" t="n">
        <v>0.1666666666666667</v>
      </c>
      <c r="AM2" s="4" t="n">
        <v>1</v>
      </c>
      <c r="AN2" s="6" t="n">
        <v>0.1666666666666667</v>
      </c>
      <c r="AO2" s="2" t="inlineStr"/>
      <c r="AP2" s="5" t="n">
        <v>0.6666666666666666</v>
      </c>
    </row>
    <row r="3">
      <c r="A3" s="2" t="inlineStr">
        <is>
          <t>DABUR</t>
        </is>
      </c>
      <c r="B3" s="2" t="inlineStr">
        <is>
          <t>Dabur India Ltd</t>
        </is>
      </c>
      <c r="C3" s="3" t="n">
        <v>18.35596999797284</v>
      </c>
      <c r="D3" s="3" t="n">
        <v>21.36942391594693</v>
      </c>
      <c r="E3" s="3" t="n">
        <v>14.60012899064818</v>
      </c>
      <c r="F3" s="3" t="n">
        <v>19.34859722670106</v>
      </c>
      <c r="G3" s="3" t="n">
        <v>0.1383539428339753</v>
      </c>
      <c r="H3" s="3" t="n">
        <v>23.24193548387097</v>
      </c>
      <c r="I3" s="3" t="n">
        <v>0.8205874569992061</v>
      </c>
      <c r="J3" s="3" t="n">
        <v>1042</v>
      </c>
      <c r="K3" s="3" t="n">
        <v>2013</v>
      </c>
      <c r="L3" s="3" t="n">
        <v>4.604418961155621</v>
      </c>
      <c r="M3" s="3" t="n">
        <v>7.814065037783324</v>
      </c>
      <c r="N3" s="3" t="n">
        <v>4.563955259127317</v>
      </c>
      <c r="O3" s="3" t="n">
        <v>1760</v>
      </c>
      <c r="P3" s="3" t="n">
        <v>12447</v>
      </c>
      <c r="Q3" s="3" t="n">
        <v>50.95</v>
      </c>
      <c r="R3" s="3" t="n">
        <v>13.59</v>
      </c>
      <c r="S3" s="3" t="n">
        <v>12.02</v>
      </c>
      <c r="T3" s="3" t="n">
        <v>3.42</v>
      </c>
      <c r="U3" s="2" t="inlineStr"/>
      <c r="V3" s="3" t="n">
        <v>66.62669357960033</v>
      </c>
      <c r="W3" s="5" t="n">
        <v>0.3333333333333333</v>
      </c>
      <c r="X3" s="5" t="n">
        <v>0.3333333333333333</v>
      </c>
      <c r="Y3" s="5" t="n">
        <v>0.5</v>
      </c>
      <c r="Z3" s="5" t="n">
        <v>0.3333333333333333</v>
      </c>
      <c r="AA3" s="5" t="n">
        <v>0.5</v>
      </c>
      <c r="AB3" s="5" t="n">
        <v>0.3333333333333333</v>
      </c>
      <c r="AC3" s="5" t="n">
        <v>0.6666666666666666</v>
      </c>
      <c r="AD3" s="5" t="n">
        <v>0.3333333333333333</v>
      </c>
      <c r="AE3" s="6" t="n">
        <v>0.1666666666666667</v>
      </c>
      <c r="AF3" s="6" t="n">
        <v>0</v>
      </c>
      <c r="AG3" s="6" t="n">
        <v>0.1666666666666667</v>
      </c>
      <c r="AH3" s="6" t="n">
        <v>0</v>
      </c>
      <c r="AI3" s="5" t="n">
        <v>0.3333333333333333</v>
      </c>
      <c r="AJ3" s="6" t="n">
        <v>0</v>
      </c>
      <c r="AK3" s="5" t="n">
        <v>0.5</v>
      </c>
      <c r="AL3" s="4" t="n">
        <v>0.8333333333333334</v>
      </c>
      <c r="AM3" s="6" t="n">
        <v>0.1666666666666667</v>
      </c>
      <c r="AN3" s="5" t="n">
        <v>0.5</v>
      </c>
      <c r="AO3" s="2" t="inlineStr"/>
      <c r="AP3" s="5" t="n">
        <v>0.3333333333333333</v>
      </c>
    </row>
    <row r="4">
      <c r="A4" s="2" t="inlineStr">
        <is>
          <t>GODREJCP</t>
        </is>
      </c>
      <c r="B4" s="2" t="inlineStr">
        <is>
          <t>Godrej Consumer Products Ltd</t>
        </is>
      </c>
      <c r="C4" s="3" t="n">
        <v>-4.45308779171297</v>
      </c>
      <c r="D4" s="3" t="n">
        <v>18.69152970922882</v>
      </c>
      <c r="E4" s="3" t="n">
        <v>-3.979852440408627</v>
      </c>
      <c r="F4" s="3" t="n">
        <v>20.97758229284904</v>
      </c>
      <c r="G4" s="3" t="n">
        <v>0.2557548817272583</v>
      </c>
      <c r="H4" s="3" t="n">
        <v>2.412903225806452</v>
      </c>
      <c r="I4" s="3" t="n">
        <v>0.7664201826881253</v>
      </c>
      <c r="J4" s="3" t="n">
        <v>-1365</v>
      </c>
      <c r="K4" s="3" t="n">
        <v>2070</v>
      </c>
      <c r="L4" s="2" t="inlineStr"/>
      <c r="M4" s="3" t="n">
        <v>6.447080048592069</v>
      </c>
      <c r="N4" s="2" t="inlineStr"/>
      <c r="O4" s="3" t="n">
        <v>-453</v>
      </c>
      <c r="P4" s="3" t="n">
        <v>14152</v>
      </c>
      <c r="Q4" s="3" t="n">
        <v>33.59</v>
      </c>
      <c r="R4" s="3" t="n">
        <v>8.07</v>
      </c>
      <c r="S4" s="3" t="n">
        <v>23.55</v>
      </c>
      <c r="T4" s="3" t="n">
        <v>3.09</v>
      </c>
      <c r="U4" s="2" t="inlineStr"/>
      <c r="V4" s="3" t="n">
        <v>32.92664674204482</v>
      </c>
      <c r="W4" s="6" t="n">
        <v>0</v>
      </c>
      <c r="X4" s="6" t="n">
        <v>0.1666666666666667</v>
      </c>
      <c r="Y4" s="6" t="n">
        <v>0</v>
      </c>
      <c r="Z4" s="5" t="n">
        <v>0.5</v>
      </c>
      <c r="AA4" s="6" t="n">
        <v>0.1666666666666666</v>
      </c>
      <c r="AB4" s="6" t="n">
        <v>0</v>
      </c>
      <c r="AC4" s="6" t="n">
        <v>0.1666666666666667</v>
      </c>
      <c r="AD4" s="6" t="n">
        <v>0</v>
      </c>
      <c r="AE4" s="5" t="n">
        <v>0.3333333333333333</v>
      </c>
      <c r="AF4" s="2" t="inlineStr"/>
      <c r="AG4" s="6" t="n">
        <v>0</v>
      </c>
      <c r="AH4" s="2" t="inlineStr"/>
      <c r="AI4" s="6" t="n">
        <v>0</v>
      </c>
      <c r="AJ4" s="6" t="n">
        <v>0.1666666666666667</v>
      </c>
      <c r="AK4" s="6" t="n">
        <v>0</v>
      </c>
      <c r="AL4" s="5" t="n">
        <v>0.5</v>
      </c>
      <c r="AM4" s="5" t="n">
        <v>0.6666666666666666</v>
      </c>
      <c r="AN4" s="5" t="n">
        <v>0.3333333333333333</v>
      </c>
      <c r="AO4" s="2" t="inlineStr"/>
      <c r="AP4" s="6" t="n">
        <v>0</v>
      </c>
    </row>
    <row r="5">
      <c r="A5" s="7" t="inlineStr">
        <is>
          <t>HINDUNILVR</t>
        </is>
      </c>
      <c r="B5" s="7" t="inlineStr">
        <is>
          <t xml:space="preserve">Hindustan Unilever Ltd
</t>
        </is>
      </c>
      <c r="C5" s="8" t="n">
        <v>20.07497364207896</v>
      </c>
      <c r="D5" s="8" t="n">
        <v>89.63037455884027</v>
      </c>
      <c r="E5" s="8" t="n">
        <v>16.61173581491534</v>
      </c>
      <c r="F5" s="8" t="n">
        <v>76.31672482874498</v>
      </c>
      <c r="G5" s="8" t="n">
        <v>0.02897418876176344</v>
      </c>
      <c r="H5" s="8" t="n">
        <v>57.8470012239902</v>
      </c>
      <c r="I5" s="8" t="n">
        <v>0.7885945801322478</v>
      </c>
      <c r="J5" s="8" t="n">
        <v>10145</v>
      </c>
      <c r="K5" s="8" t="n">
        <v>15469</v>
      </c>
      <c r="L5" s="8" t="n">
        <v>11.15295043680342</v>
      </c>
      <c r="M5" s="8" t="n">
        <v>9.504485244074123</v>
      </c>
      <c r="N5" s="8" t="n">
        <v>9.460878422315755</v>
      </c>
      <c r="O5" s="8" t="n">
        <v>10757</v>
      </c>
      <c r="P5" s="8" t="n">
        <v>62661</v>
      </c>
      <c r="Q5" s="8" t="n">
        <v>34.51</v>
      </c>
      <c r="R5" s="8" t="n">
        <v>11.88</v>
      </c>
      <c r="S5" s="8" t="n">
        <v>7.52</v>
      </c>
      <c r="T5" s="8" t="n">
        <v>4.32</v>
      </c>
      <c r="U5" s="7" t="inlineStr"/>
      <c r="V5" s="8" t="n">
        <v>70.67823304566522</v>
      </c>
      <c r="W5" s="5" t="n">
        <v>0.5</v>
      </c>
      <c r="X5" s="4" t="n">
        <v>0.8333333333333334</v>
      </c>
      <c r="Y5" s="4" t="n">
        <v>0.8333333333333334</v>
      </c>
      <c r="Z5" s="4" t="n">
        <v>1</v>
      </c>
      <c r="AA5" s="4" t="n">
        <v>0.8333333333333334</v>
      </c>
      <c r="AB5" s="4" t="n">
        <v>0.8333333333333334</v>
      </c>
      <c r="AC5" s="5" t="n">
        <v>0.5</v>
      </c>
      <c r="AD5" s="4" t="n">
        <v>0.8333333333333334</v>
      </c>
      <c r="AE5" s="4" t="n">
        <v>0.8333333333333334</v>
      </c>
      <c r="AF5" s="5" t="n">
        <v>0.4</v>
      </c>
      <c r="AG5" s="5" t="n">
        <v>0.6666666666666666</v>
      </c>
      <c r="AH5" s="6" t="n">
        <v>0.2</v>
      </c>
      <c r="AI5" s="4" t="n">
        <v>0.8333333333333334</v>
      </c>
      <c r="AJ5" s="4" t="n">
        <v>0.8333333333333334</v>
      </c>
      <c r="AK5" s="6" t="n">
        <v>0.1666666666666667</v>
      </c>
      <c r="AL5" s="5" t="n">
        <v>0.6666666666666666</v>
      </c>
      <c r="AM5" s="6" t="n">
        <v>0</v>
      </c>
      <c r="AN5" s="4" t="n">
        <v>1</v>
      </c>
      <c r="AO5" s="2" t="inlineStr"/>
      <c r="AP5" s="5" t="n">
        <v>0.5</v>
      </c>
    </row>
    <row r="6">
      <c r="A6" s="2" t="inlineStr">
        <is>
          <t>ITC</t>
        </is>
      </c>
      <c r="B6" s="2" t="inlineStr">
        <is>
          <t xml:space="preserve">ITC Ltd
</t>
        </is>
      </c>
      <c r="C6" s="3" t="n">
        <v>27.85107439569436</v>
      </c>
      <c r="D6" s="3" t="n">
        <v>35.06616762464911</v>
      </c>
      <c r="E6" s="3" t="n">
        <v>29.28202523071713</v>
      </c>
      <c r="F6" s="3" t="n">
        <v>37.0177518132814</v>
      </c>
      <c r="G6" s="3" t="n">
        <v>0.004066731984914169</v>
      </c>
      <c r="H6" s="3" t="n">
        <v>362.9625</v>
      </c>
      <c r="I6" s="3" t="n">
        <v>0.7723477995509732</v>
      </c>
      <c r="J6" s="3" t="n">
        <v>18742</v>
      </c>
      <c r="K6" s="3" t="n">
        <v>17179</v>
      </c>
      <c r="L6" s="3" t="n">
        <v>10.08340755831796</v>
      </c>
      <c r="M6" s="3" t="n">
        <v>7.950896846254429</v>
      </c>
      <c r="N6" s="3" t="n">
        <v>9.856054330611785</v>
      </c>
      <c r="O6" s="3" t="n">
        <v>20829</v>
      </c>
      <c r="P6" s="3" t="n">
        <v>75135</v>
      </c>
      <c r="Q6" s="3" t="n">
        <v>47.85</v>
      </c>
      <c r="R6" s="3" t="n">
        <v>3.24</v>
      </c>
      <c r="S6" s="3" t="n">
        <v>17.19</v>
      </c>
      <c r="T6" s="3" t="n">
        <v>4.26</v>
      </c>
      <c r="U6" s="2" t="inlineStr"/>
      <c r="V6" s="3" t="n">
        <v>83.37306405383762</v>
      </c>
      <c r="W6" s="5" t="n">
        <v>0.6666666666666666</v>
      </c>
      <c r="X6" s="5" t="n">
        <v>0.5</v>
      </c>
      <c r="Y6" s="4" t="n">
        <v>1</v>
      </c>
      <c r="Z6" s="4" t="n">
        <v>0.8333333333333334</v>
      </c>
      <c r="AA6" s="4" t="n">
        <v>1</v>
      </c>
      <c r="AB6" s="4" t="n">
        <v>1</v>
      </c>
      <c r="AC6" s="5" t="n">
        <v>0.3333333333333333</v>
      </c>
      <c r="AD6" s="4" t="n">
        <v>1</v>
      </c>
      <c r="AE6" s="4" t="n">
        <v>1</v>
      </c>
      <c r="AF6" s="6" t="n">
        <v>0.2</v>
      </c>
      <c r="AG6" s="5" t="n">
        <v>0.3333333333333333</v>
      </c>
      <c r="AH6" s="5" t="n">
        <v>0.4</v>
      </c>
      <c r="AI6" s="4" t="n">
        <v>1</v>
      </c>
      <c r="AJ6" s="4" t="n">
        <v>1</v>
      </c>
      <c r="AK6" s="5" t="n">
        <v>0.3333333333333333</v>
      </c>
      <c r="AL6" s="6" t="n">
        <v>0</v>
      </c>
      <c r="AM6" s="5" t="n">
        <v>0.5</v>
      </c>
      <c r="AN6" s="4" t="n">
        <v>0.8333333333333334</v>
      </c>
      <c r="AO6" s="2" t="inlineStr"/>
      <c r="AP6" s="4" t="n">
        <v>1</v>
      </c>
    </row>
    <row r="7">
      <c r="A7" s="2" t="inlineStr">
        <is>
          <t>NESTLEIND</t>
        </is>
      </c>
      <c r="B7" s="2" t="inlineStr">
        <is>
          <t>Nestle India Ltd</t>
        </is>
      </c>
      <c r="C7" s="3" t="n">
        <v>117.7544910179641</v>
      </c>
      <c r="D7" s="3" t="n">
        <v>157.7476255088195</v>
      </c>
      <c r="E7" s="3" t="n">
        <v>16.12281708616873</v>
      </c>
      <c r="F7" s="3" t="n">
        <v>23.82963023694351</v>
      </c>
      <c r="G7" s="3" t="n">
        <v>0.1032934131736527</v>
      </c>
      <c r="H7" s="3" t="n">
        <v>41.18620689655172</v>
      </c>
      <c r="I7" s="3" t="n">
        <v>2.318160220469448</v>
      </c>
      <c r="J7" s="3" t="n">
        <v>2938</v>
      </c>
      <c r="K7" s="3" t="n">
        <v>4175</v>
      </c>
      <c r="L7" s="3" t="n">
        <v>14.85231951299384</v>
      </c>
      <c r="M7" s="3" t="n">
        <v>14.54857371180267</v>
      </c>
      <c r="N7" s="3" t="n">
        <v>15.43852585822143</v>
      </c>
      <c r="O7" s="3" t="n">
        <v>3323</v>
      </c>
      <c r="P7" s="3" t="n">
        <v>19786</v>
      </c>
      <c r="Q7" s="3" t="n">
        <v>54.96</v>
      </c>
      <c r="R7" s="3" t="n">
        <v>14.34</v>
      </c>
      <c r="S7" s="3" t="n">
        <v>15.49</v>
      </c>
      <c r="T7" s="3" t="n">
        <v>3.85</v>
      </c>
      <c r="U7" s="2" t="inlineStr"/>
      <c r="V7" s="3" t="n">
        <v>80.03442021261966</v>
      </c>
      <c r="W7" s="4" t="n">
        <v>1</v>
      </c>
      <c r="X7" s="4" t="n">
        <v>1</v>
      </c>
      <c r="Y7" s="5" t="n">
        <v>0.6666666666666666</v>
      </c>
      <c r="Z7" s="5" t="n">
        <v>0.6666666666666666</v>
      </c>
      <c r="AA7" s="5" t="n">
        <v>0.6666666666666667</v>
      </c>
      <c r="AB7" s="5" t="n">
        <v>0.6666666666666666</v>
      </c>
      <c r="AC7" s="4" t="n">
        <v>1</v>
      </c>
      <c r="AD7" s="5" t="n">
        <v>0.5</v>
      </c>
      <c r="AE7" s="5" t="n">
        <v>0.6666666666666666</v>
      </c>
      <c r="AF7" s="4" t="n">
        <v>0.8</v>
      </c>
      <c r="AG7" s="4" t="n">
        <v>0.8333333333333334</v>
      </c>
      <c r="AH7" s="4" t="n">
        <v>1</v>
      </c>
      <c r="AI7" s="5" t="n">
        <v>0.6666666666666666</v>
      </c>
      <c r="AJ7" s="5" t="n">
        <v>0.6666666666666666</v>
      </c>
      <c r="AK7" s="4" t="n">
        <v>0.8333333333333334</v>
      </c>
      <c r="AL7" s="4" t="n">
        <v>1</v>
      </c>
      <c r="AM7" s="5" t="n">
        <v>0.3333333333333333</v>
      </c>
      <c r="AN7" s="5" t="n">
        <v>0.6666666666666666</v>
      </c>
      <c r="AO7" s="2" t="inlineStr"/>
      <c r="AP7" s="4" t="n">
        <v>0.8333333333333334</v>
      </c>
    </row>
    <row r="8">
      <c r="A8" s="2" t="inlineStr">
        <is>
          <t>TATACONSUM</t>
        </is>
      </c>
      <c r="B8" s="2" t="inlineStr">
        <is>
          <t>Tata Consumer Products Ltd</t>
        </is>
      </c>
      <c r="C8" s="3" t="n">
        <v>7.566793298872766</v>
      </c>
      <c r="D8" s="3" t="n">
        <v>11.69243370533429</v>
      </c>
      <c r="E8" s="3" t="n">
        <v>7.990266999868473</v>
      </c>
      <c r="F8" s="3" t="n">
        <v>15.02038668946468</v>
      </c>
      <c r="G8" s="3" t="n">
        <v>0.21654107242947</v>
      </c>
      <c r="H8" s="3" t="n">
        <v>25.32183908045977</v>
      </c>
      <c r="I8" s="3" t="n">
        <v>0.5454284586965099</v>
      </c>
      <c r="J8" s="3" t="n">
        <v>26</v>
      </c>
      <c r="K8" s="3" t="n">
        <v>1937</v>
      </c>
      <c r="L8" s="3" t="n">
        <v>21.59956338772886</v>
      </c>
      <c r="M8" s="3" t="n">
        <v>15.96086282879563</v>
      </c>
      <c r="N8" s="3" t="n">
        <v>14.86983549970351</v>
      </c>
      <c r="O8" s="3" t="n">
        <v>1170</v>
      </c>
      <c r="P8" s="3" t="n">
        <v>16297</v>
      </c>
      <c r="Q8" s="3" t="n">
        <v>54.79</v>
      </c>
      <c r="R8" s="3" t="n">
        <v>7.14</v>
      </c>
      <c r="S8" s="3" t="n">
        <v>24.84</v>
      </c>
      <c r="T8" s="3" t="n">
        <v>1.87</v>
      </c>
      <c r="U8" s="2" t="inlineStr"/>
      <c r="V8" s="3" t="n">
        <v>60.14578446197337</v>
      </c>
      <c r="W8" s="6" t="n">
        <v>0.1666666666666667</v>
      </c>
      <c r="X8" s="6" t="n">
        <v>0</v>
      </c>
      <c r="Y8" s="6" t="n">
        <v>0.1666666666666667</v>
      </c>
      <c r="Z8" s="6" t="n">
        <v>0</v>
      </c>
      <c r="AA8" s="5" t="n">
        <v>0.3333333333333334</v>
      </c>
      <c r="AB8" s="5" t="n">
        <v>0.5</v>
      </c>
      <c r="AC8" s="6" t="n">
        <v>0</v>
      </c>
      <c r="AD8" s="6" t="n">
        <v>0.1666666666666667</v>
      </c>
      <c r="AE8" s="6" t="n">
        <v>0</v>
      </c>
      <c r="AF8" s="4" t="n">
        <v>1</v>
      </c>
      <c r="AG8" s="4" t="n">
        <v>1</v>
      </c>
      <c r="AH8" s="4" t="n">
        <v>0.8</v>
      </c>
      <c r="AI8" s="6" t="n">
        <v>0.1666666666666667</v>
      </c>
      <c r="AJ8" s="5" t="n">
        <v>0.3333333333333333</v>
      </c>
      <c r="AK8" s="5" t="n">
        <v>0.6666666666666666</v>
      </c>
      <c r="AL8" s="5" t="n">
        <v>0.3333333333333333</v>
      </c>
      <c r="AM8" s="4" t="n">
        <v>0.8333333333333334</v>
      </c>
      <c r="AN8" s="6" t="n">
        <v>0</v>
      </c>
      <c r="AO8" s="2" t="inlineStr"/>
      <c r="AP8" s="6" t="n">
        <v>0.1666666666666667</v>
      </c>
    </row>
    <row r="9">
      <c r="A9" s="9" t="inlineStr">
        <is>
          <t>Peer Median</t>
        </is>
      </c>
      <c r="B9" s="9" t="inlineStr">
        <is>
          <t>Peer Group Median</t>
        </is>
      </c>
      <c r="C9" s="9">
        <f>MEDIAN(C2:C8)</f>
        <v/>
      </c>
      <c r="D9" s="9">
        <f>MEDIAN(D2:D8)</f>
        <v/>
      </c>
      <c r="E9" s="9">
        <f>MEDIAN(E2:E8)</f>
        <v/>
      </c>
      <c r="F9" s="9">
        <f>MEDIAN(F2:F8)</f>
        <v/>
      </c>
      <c r="G9" s="9">
        <f>MEDIAN(G2:G8)</f>
        <v/>
      </c>
      <c r="H9" s="9">
        <f>MEDIAN(H2:H8)</f>
        <v/>
      </c>
      <c r="I9" s="9">
        <f>MEDIAN(I2:I8)</f>
        <v/>
      </c>
      <c r="J9" s="9">
        <f>MEDIAN(J2:J8)</f>
        <v/>
      </c>
      <c r="K9" s="9">
        <f>MEDIAN(K2:K8)</f>
        <v/>
      </c>
      <c r="L9" s="9">
        <f>MEDIAN(L2:L8)</f>
        <v/>
      </c>
      <c r="M9" s="9">
        <f>MEDIAN(M2:M8)</f>
        <v/>
      </c>
      <c r="N9" s="9">
        <f>MEDIAN(N2:N8)</f>
        <v/>
      </c>
      <c r="O9" s="9">
        <f>MEDIAN(O2:O8)</f>
        <v/>
      </c>
      <c r="P9" s="9">
        <f>MEDIAN(P2:P8)</f>
        <v/>
      </c>
      <c r="Q9" s="9">
        <f>MEDIAN(Q2:Q8)</f>
        <v/>
      </c>
      <c r="R9" s="9">
        <f>MEDIAN(R2:R8)</f>
        <v/>
      </c>
      <c r="S9" s="9">
        <f>MEDIAN(S2:S8)</f>
        <v/>
      </c>
      <c r="T9" s="9">
        <f>MEDIAN(T2:T8)</f>
        <v/>
      </c>
      <c r="U9" s="9">
        <f>MEDIAN(U2:U8)</f>
        <v/>
      </c>
      <c r="V9" s="9">
        <f>MEDIAN(V2:V8)</f>
        <v/>
      </c>
      <c r="W9" s="9">
        <f>MEDIAN(W2:W8)</f>
        <v/>
      </c>
      <c r="X9" s="9">
        <f>MEDIAN(X2:X8)</f>
        <v/>
      </c>
      <c r="Y9" s="9">
        <f>MEDIAN(Y2:Y8)</f>
        <v/>
      </c>
      <c r="Z9" s="9">
        <f>MEDIAN(Z2:Z8)</f>
        <v/>
      </c>
      <c r="AA9" s="9">
        <f>MEDIAN(AA2:AA8)</f>
        <v/>
      </c>
      <c r="AB9" s="9">
        <f>MEDIAN(AB2:AB8)</f>
        <v/>
      </c>
      <c r="AC9" s="9">
        <f>MEDIAN(AC2:AC8)</f>
        <v/>
      </c>
      <c r="AD9" s="9">
        <f>MEDIAN(AD2:AD8)</f>
        <v/>
      </c>
      <c r="AE9" s="9">
        <f>MEDIAN(AE2:AE8)</f>
        <v/>
      </c>
      <c r="AF9" s="9">
        <f>MEDIAN(AF2:AF8)</f>
        <v/>
      </c>
      <c r="AG9" s="9">
        <f>MEDIAN(AG2:AG8)</f>
        <v/>
      </c>
      <c r="AH9" s="9">
        <f>MEDIAN(AH2:AH8)</f>
        <v/>
      </c>
      <c r="AI9" s="9">
        <f>MEDIAN(AI2:AI8)</f>
        <v/>
      </c>
      <c r="AJ9" s="9">
        <f>MEDIAN(AJ2:AJ8)</f>
        <v/>
      </c>
      <c r="AK9" s="9">
        <f>MEDIAN(AK2:AK8)</f>
        <v/>
      </c>
      <c r="AL9" s="9">
        <f>MEDIAN(AL2:AL8)</f>
        <v/>
      </c>
      <c r="AM9" s="9">
        <f>MEDIAN(AM2:AM8)</f>
        <v/>
      </c>
      <c r="AN9" s="9">
        <f>MEDIAN(AN2:AN8)</f>
        <v/>
      </c>
      <c r="AO9" s="9">
        <f>MEDIAN(AO2:AO8)</f>
        <v/>
      </c>
      <c r="AP9" s="9">
        <f>MEDIAN(AP2:AP8)</f>
        <v/>
      </c>
    </row>
  </sheetData>
  <autoFilter ref="A1:AP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Operating Profit Margin</t>
        </is>
      </c>
      <c r="G1" s="1" t="inlineStr">
        <is>
          <t>D/E</t>
        </is>
      </c>
      <c r="H1" s="1" t="inlineStr">
        <is>
          <t>Interest Coverage</t>
        </is>
      </c>
      <c r="I1" s="1" t="inlineStr">
        <is>
          <t>Asset Turnover</t>
        </is>
      </c>
      <c r="J1" s="1" t="inlineStr">
        <is>
          <t>Free Cash Flow</t>
        </is>
      </c>
      <c r="K1" s="1" t="inlineStr">
        <is>
          <t>Cash From Operations</t>
        </is>
      </c>
      <c r="L1" s="1" t="inlineStr">
        <is>
          <t>PAT CAGR 5yr</t>
        </is>
      </c>
      <c r="M1" s="1" t="inlineStr">
        <is>
          <t>Revenue CAGR 5yr</t>
        </is>
      </c>
      <c r="N1" s="1" t="inlineStr">
        <is>
          <t>EPS CAGR 5yr</t>
        </is>
      </c>
      <c r="O1" s="1" t="inlineStr">
        <is>
          <t>Net Profit</t>
        </is>
      </c>
      <c r="P1" s="1" t="inlineStr">
        <is>
          <t>Sales</t>
        </is>
      </c>
      <c r="Q1" s="1" t="inlineStr">
        <is>
          <t>P/E</t>
        </is>
      </c>
      <c r="R1" s="1" t="inlineStr">
        <is>
          <t>P/B</t>
        </is>
      </c>
      <c r="S1" s="1" t="inlineStr">
        <is>
          <t>EV/EBITDA</t>
        </is>
      </c>
      <c r="T1" s="1" t="inlineStr">
        <is>
          <t>Dividend Yield</t>
        </is>
      </c>
      <c r="U1" s="1" t="inlineStr">
        <is>
          <t>Dividend Payout</t>
        </is>
      </c>
      <c r="V1" s="1" t="inlineStr">
        <is>
          <t>Composite Score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Operating Profit Margin Percentile</t>
        </is>
      </c>
      <c r="AA1" s="1" t="inlineStr">
        <is>
          <t>D/E Percentile</t>
        </is>
      </c>
      <c r="AB1" s="1" t="inlineStr">
        <is>
          <t>Interest Coverage Percentile</t>
        </is>
      </c>
      <c r="AC1" s="1" t="inlineStr">
        <is>
          <t>Asset Turnover Percentile</t>
        </is>
      </c>
      <c r="AD1" s="1" t="inlineStr">
        <is>
          <t>Free Cash Flow Percentile</t>
        </is>
      </c>
      <c r="AE1" s="1" t="inlineStr">
        <is>
          <t>Cash From Operations Percentile</t>
        </is>
      </c>
      <c r="AF1" s="1" t="inlineStr">
        <is>
          <t>PAT CAGR 5yr Percentile</t>
        </is>
      </c>
      <c r="AG1" s="1" t="inlineStr">
        <is>
          <t>Revenue CAGR 5yr Percentile</t>
        </is>
      </c>
      <c r="AH1" s="1" t="inlineStr">
        <is>
          <t>EPS CAGR 5yr Percentile</t>
        </is>
      </c>
      <c r="AI1" s="1" t="inlineStr">
        <is>
          <t>Net Profit Percentile</t>
        </is>
      </c>
      <c r="AJ1" s="1" t="inlineStr">
        <is>
          <t>Sales Percentile</t>
        </is>
      </c>
      <c r="AK1" s="1" t="inlineStr">
        <is>
          <t>P/E Percentile</t>
        </is>
      </c>
      <c r="AL1" s="1" t="inlineStr">
        <is>
          <t>P/B Percentile</t>
        </is>
      </c>
      <c r="AM1" s="1" t="inlineStr">
        <is>
          <t>EV/EBITDA Percentile</t>
        </is>
      </c>
      <c r="AN1" s="1" t="inlineStr">
        <is>
          <t>Dividend Yield Percentile</t>
        </is>
      </c>
      <c r="AO1" s="1" t="inlineStr">
        <is>
          <t>Dividend Payout Percentile</t>
        </is>
      </c>
      <c r="AP1" s="1" t="inlineStr">
        <is>
          <t>Composite Score Percentile</t>
        </is>
      </c>
    </row>
    <row r="2">
      <c r="A2" s="2" t="inlineStr">
        <is>
          <t>HCLTECH</t>
        </is>
      </c>
      <c r="B2" s="2" t="inlineStr">
        <is>
          <t>HCL Technologies Ltd</t>
        </is>
      </c>
      <c r="C2" s="3" t="n">
        <v>23.01393141233172</v>
      </c>
      <c r="D2" s="3" t="n">
        <v>32.69072290295998</v>
      </c>
      <c r="E2" s="3" t="n">
        <v>14.29312274253273</v>
      </c>
      <c r="F2" s="3" t="n">
        <v>22.01559415173819</v>
      </c>
      <c r="G2" s="3" t="n">
        <v>0.08435023365512796</v>
      </c>
      <c r="H2" s="3" t="n">
        <v>46.46112115732369</v>
      </c>
      <c r="I2" s="3" t="n">
        <v>1.110165040502596</v>
      </c>
      <c r="J2" s="3" t="n">
        <v>15840</v>
      </c>
      <c r="K2" s="3" t="n">
        <v>22448</v>
      </c>
      <c r="L2" s="3" t="n">
        <v>9.194090295112023</v>
      </c>
      <c r="M2" s="3" t="n">
        <v>12.71029997837341</v>
      </c>
      <c r="N2" s="3" t="n">
        <v>9.407036350794119</v>
      </c>
      <c r="O2" s="3" t="n">
        <v>17085</v>
      </c>
      <c r="P2" s="3" t="n">
        <v>115308</v>
      </c>
      <c r="Q2" s="3" t="n">
        <v>63.63</v>
      </c>
      <c r="R2" s="3" t="n">
        <v>5.44</v>
      </c>
      <c r="S2" s="3" t="n">
        <v>31.21</v>
      </c>
      <c r="T2" s="3" t="n">
        <v>1.99</v>
      </c>
      <c r="U2" s="2" t="inlineStr"/>
      <c r="V2" s="3" t="n">
        <v>73.0075018208714</v>
      </c>
      <c r="W2" s="5" t="n">
        <v>0.5</v>
      </c>
      <c r="X2" s="5" t="n">
        <v>0.5</v>
      </c>
      <c r="Y2" s="5" t="n">
        <v>0.5</v>
      </c>
      <c r="Z2" s="5" t="n">
        <v>0.5</v>
      </c>
      <c r="AA2" s="4" t="n">
        <v>1</v>
      </c>
      <c r="AB2" s="5" t="n">
        <v>0.5</v>
      </c>
      <c r="AC2" s="6" t="n">
        <v>0</v>
      </c>
      <c r="AD2" s="5" t="n">
        <v>0.5</v>
      </c>
      <c r="AE2" s="5" t="n">
        <v>0.5</v>
      </c>
      <c r="AF2" s="5" t="n">
        <v>0.5</v>
      </c>
      <c r="AG2" s="5" t="n">
        <v>0.5</v>
      </c>
      <c r="AH2" s="5" t="n">
        <v>0.5</v>
      </c>
      <c r="AI2" s="5" t="n">
        <v>0.5</v>
      </c>
      <c r="AJ2" s="5" t="n">
        <v>0.5</v>
      </c>
      <c r="AK2" s="5" t="n">
        <v>0.5</v>
      </c>
      <c r="AL2" s="6" t="n">
        <v>0.25</v>
      </c>
      <c r="AM2" s="4" t="n">
        <v>0.75</v>
      </c>
      <c r="AN2" s="5" t="n">
        <v>0.5</v>
      </c>
      <c r="AO2" s="2" t="inlineStr"/>
      <c r="AP2" s="6" t="n">
        <v>0.25</v>
      </c>
    </row>
    <row r="3">
      <c r="A3" s="2" t="inlineStr">
        <is>
          <t>INFY</t>
        </is>
      </c>
      <c r="B3" s="2" t="inlineStr">
        <is>
          <t>Infosys Ltd</t>
        </is>
      </c>
      <c r="C3" s="3" t="n">
        <v>29.78800671841663</v>
      </c>
      <c r="D3" s="3" t="n">
        <v>37.75589530966572</v>
      </c>
      <c r="E3" s="3" t="n">
        <v>17.08075746730006</v>
      </c>
      <c r="F3" s="3" t="n">
        <v>23.70339038198738</v>
      </c>
      <c r="G3" s="3" t="n">
        <v>0.09486358890553362</v>
      </c>
      <c r="H3" s="3" t="n">
        <v>87.52340425531915</v>
      </c>
      <c r="I3" s="3" t="n">
        <v>1.129760329363329</v>
      </c>
      <c r="J3" s="3" t="n">
        <v>20117</v>
      </c>
      <c r="K3" s="3" t="n">
        <v>25210</v>
      </c>
      <c r="L3" s="3" t="n">
        <v>11.23941998365794</v>
      </c>
      <c r="M3" s="3" t="n">
        <v>13.19910093055623</v>
      </c>
      <c r="N3" s="3" t="n">
        <v>12.47461131420948</v>
      </c>
      <c r="O3" s="3" t="n">
        <v>27687</v>
      </c>
      <c r="P3" s="3" t="n">
        <v>159988</v>
      </c>
      <c r="Q3" s="3" t="n">
        <v>35.99</v>
      </c>
      <c r="R3" s="3" t="n">
        <v>8.970000000000001</v>
      </c>
      <c r="S3" s="3" t="n">
        <v>36.7</v>
      </c>
      <c r="T3" s="3" t="n">
        <v>4.1</v>
      </c>
      <c r="U3" s="2" t="inlineStr"/>
      <c r="V3" s="3" t="n">
        <v>79.66578905522648</v>
      </c>
      <c r="W3" s="4" t="n">
        <v>0.75</v>
      </c>
      <c r="X3" s="4" t="n">
        <v>0.75</v>
      </c>
      <c r="Y3" s="4" t="n">
        <v>0.75</v>
      </c>
      <c r="Z3" s="4" t="n">
        <v>0.75</v>
      </c>
      <c r="AA3" s="5" t="n">
        <v>0.5</v>
      </c>
      <c r="AB3" s="4" t="n">
        <v>1</v>
      </c>
      <c r="AC3" s="6" t="n">
        <v>0.25</v>
      </c>
      <c r="AD3" s="4" t="n">
        <v>0.75</v>
      </c>
      <c r="AE3" s="4" t="n">
        <v>0.75</v>
      </c>
      <c r="AF3" s="4" t="n">
        <v>0.75</v>
      </c>
      <c r="AG3" s="4" t="n">
        <v>0.75</v>
      </c>
      <c r="AH3" s="4" t="n">
        <v>1</v>
      </c>
      <c r="AI3" s="4" t="n">
        <v>0.75</v>
      </c>
      <c r="AJ3" s="4" t="n">
        <v>0.75</v>
      </c>
      <c r="AK3" s="6" t="n">
        <v>0</v>
      </c>
      <c r="AL3" s="4" t="n">
        <v>1</v>
      </c>
      <c r="AM3" s="4" t="n">
        <v>1</v>
      </c>
      <c r="AN3" s="4" t="n">
        <v>0.75</v>
      </c>
      <c r="AO3" s="2" t="inlineStr"/>
      <c r="AP3" s="4" t="n">
        <v>0.75</v>
      </c>
    </row>
    <row r="4">
      <c r="A4" s="2" t="inlineStr">
        <is>
          <t>LTIM</t>
        </is>
      </c>
      <c r="B4" s="2" t="inlineStr">
        <is>
          <t>LTIMindtree Ltd</t>
        </is>
      </c>
      <c r="C4" s="3" t="n">
        <v>22.9043860525527</v>
      </c>
      <c r="D4" s="3" t="n">
        <v>28.91484449273394</v>
      </c>
      <c r="E4" s="3" t="n">
        <v>12.90931103415266</v>
      </c>
      <c r="F4" s="3" t="n">
        <v>17.98293774812062</v>
      </c>
      <c r="G4" s="3" t="n">
        <v>0.1034568888000799</v>
      </c>
      <c r="H4" s="3" t="n">
        <v>31.93243243243243</v>
      </c>
      <c r="I4" s="3" t="n">
        <v>1.289464130119082</v>
      </c>
      <c r="J4" s="3" t="n">
        <v>1752</v>
      </c>
      <c r="K4" s="3" t="n">
        <v>5670</v>
      </c>
      <c r="L4" s="3" t="n">
        <v>24.775129058601</v>
      </c>
      <c r="M4" s="3" t="n">
        <v>30.32798083513346</v>
      </c>
      <c r="N4" s="3" t="n">
        <v>12.24383304425547</v>
      </c>
      <c r="O4" s="3" t="n">
        <v>4574</v>
      </c>
      <c r="P4" s="3" t="n">
        <v>37129</v>
      </c>
      <c r="Q4" s="3" t="n">
        <v>64.52</v>
      </c>
      <c r="R4" s="3" t="n">
        <v>2.38</v>
      </c>
      <c r="S4" s="3" t="n">
        <v>18.9</v>
      </c>
      <c r="T4" s="3" t="n">
        <v>4.43</v>
      </c>
      <c r="U4" s="2" t="inlineStr"/>
      <c r="V4" s="3" t="n">
        <v>83.46197050260325</v>
      </c>
      <c r="W4" s="6" t="n">
        <v>0.25</v>
      </c>
      <c r="X4" s="6" t="n">
        <v>0.25</v>
      </c>
      <c r="Y4" s="6" t="n">
        <v>0.25</v>
      </c>
      <c r="Z4" s="6" t="n">
        <v>0.25</v>
      </c>
      <c r="AA4" s="6" t="n">
        <v>0</v>
      </c>
      <c r="AB4" s="6" t="n">
        <v>0.25</v>
      </c>
      <c r="AC4" s="4" t="n">
        <v>0.75</v>
      </c>
      <c r="AD4" s="6" t="n">
        <v>0</v>
      </c>
      <c r="AE4" s="6" t="n">
        <v>0</v>
      </c>
      <c r="AF4" s="4" t="n">
        <v>1</v>
      </c>
      <c r="AG4" s="4" t="n">
        <v>1</v>
      </c>
      <c r="AH4" s="4" t="n">
        <v>0.75</v>
      </c>
      <c r="AI4" s="6" t="n">
        <v>0.25</v>
      </c>
      <c r="AJ4" s="6" t="n">
        <v>0</v>
      </c>
      <c r="AK4" s="4" t="n">
        <v>0.75</v>
      </c>
      <c r="AL4" s="6" t="n">
        <v>0</v>
      </c>
      <c r="AM4" s="6" t="n">
        <v>0.25</v>
      </c>
      <c r="AN4" s="4" t="n">
        <v>1</v>
      </c>
      <c r="AO4" s="2" t="inlineStr"/>
      <c r="AP4" s="4" t="n">
        <v>1</v>
      </c>
    </row>
    <row r="5">
      <c r="A5" s="7" t="inlineStr">
        <is>
          <t>TCS</t>
        </is>
      </c>
      <c r="B5" s="7" t="inlineStr">
        <is>
          <t>Tata Consultancy Services Ltd</t>
        </is>
      </c>
      <c r="C5" s="8" t="n">
        <v>50.94431367348518</v>
      </c>
      <c r="D5" s="8" t="n">
        <v>65.26850065983149</v>
      </c>
      <c r="E5" s="8" t="n">
        <v>19.13671215020777</v>
      </c>
      <c r="F5" s="8" t="n">
        <v>26.69068839692312</v>
      </c>
      <c r="G5" s="8" t="n">
        <v>0.0886406082507266</v>
      </c>
      <c r="H5" s="8" t="n">
        <v>87.09511568123393</v>
      </c>
      <c r="I5" s="8" t="n">
        <v>1.655940662120545</v>
      </c>
      <c r="J5" s="8" t="n">
        <v>50429</v>
      </c>
      <c r="K5" s="8" t="n">
        <v>44338</v>
      </c>
      <c r="L5" s="8" t="n">
        <v>7.871172131953608</v>
      </c>
      <c r="M5" s="8" t="n">
        <v>10.4636148017166</v>
      </c>
      <c r="N5" s="8" t="n">
        <v>8.618771612987096</v>
      </c>
      <c r="O5" s="8" t="n">
        <v>49006</v>
      </c>
      <c r="P5" s="8" t="n">
        <v>252082</v>
      </c>
      <c r="Q5" s="8" t="n">
        <v>78.69</v>
      </c>
      <c r="R5" s="8" t="n">
        <v>6.08</v>
      </c>
      <c r="S5" s="8" t="n">
        <v>29.94</v>
      </c>
      <c r="T5" s="8" t="n">
        <v>1.62</v>
      </c>
      <c r="U5" s="7" t="inlineStr"/>
      <c r="V5" s="8" t="n">
        <v>79.37898886828</v>
      </c>
      <c r="W5" s="4" t="n">
        <v>1</v>
      </c>
      <c r="X5" s="4" t="n">
        <v>1</v>
      </c>
      <c r="Y5" s="4" t="n">
        <v>1</v>
      </c>
      <c r="Z5" s="4" t="n">
        <v>1</v>
      </c>
      <c r="AA5" s="4" t="n">
        <v>0.75</v>
      </c>
      <c r="AB5" s="4" t="n">
        <v>0.75</v>
      </c>
      <c r="AC5" s="4" t="n">
        <v>1</v>
      </c>
      <c r="AD5" s="4" t="n">
        <v>1</v>
      </c>
      <c r="AE5" s="4" t="n">
        <v>1</v>
      </c>
      <c r="AF5" s="6" t="n">
        <v>0.25</v>
      </c>
      <c r="AG5" s="6" t="n">
        <v>0.25</v>
      </c>
      <c r="AH5" s="6" t="n">
        <v>0.25</v>
      </c>
      <c r="AI5" s="4" t="n">
        <v>1</v>
      </c>
      <c r="AJ5" s="4" t="n">
        <v>1</v>
      </c>
      <c r="AK5" s="4" t="n">
        <v>1</v>
      </c>
      <c r="AL5" s="5" t="n">
        <v>0.5</v>
      </c>
      <c r="AM5" s="5" t="n">
        <v>0.5</v>
      </c>
      <c r="AN5" s="6" t="n">
        <v>0.25</v>
      </c>
      <c r="AO5" s="2" t="inlineStr"/>
      <c r="AP5" s="5" t="n">
        <v>0.5</v>
      </c>
    </row>
    <row r="6">
      <c r="A6" s="2" t="inlineStr">
        <is>
          <t>TECHM</t>
        </is>
      </c>
      <c r="B6" s="2" t="inlineStr">
        <is>
          <t>Tech Mahindra Ltd</t>
        </is>
      </c>
      <c r="C6" s="3" t="n">
        <v>8.987963553189097</v>
      </c>
      <c r="D6" s="3" t="n">
        <v>15.42833664315552</v>
      </c>
      <c r="E6" s="3" t="n">
        <v>4.60996999769213</v>
      </c>
      <c r="F6" s="3" t="n">
        <v>8.666051234710363</v>
      </c>
      <c r="G6" s="3" t="n">
        <v>0.09512917619708275</v>
      </c>
      <c r="H6" s="3" t="n">
        <v>13.85969387755102</v>
      </c>
      <c r="I6" s="3" t="n">
        <v>1.205033720364319</v>
      </c>
      <c r="J6" s="3" t="n">
        <v>5058</v>
      </c>
      <c r="K6" s="3" t="n">
        <v>6376</v>
      </c>
      <c r="L6" s="3" t="n">
        <v>-10.98516368821859</v>
      </c>
      <c r="M6" s="3" t="n">
        <v>8.398437919098868</v>
      </c>
      <c r="N6" s="3" t="n">
        <v>-11.41672896552428</v>
      </c>
      <c r="O6" s="3" t="n">
        <v>3775</v>
      </c>
      <c r="P6" s="3" t="n">
        <v>52476</v>
      </c>
      <c r="Q6" s="3" t="n">
        <v>57.4</v>
      </c>
      <c r="R6" s="3" t="n">
        <v>7.43</v>
      </c>
      <c r="S6" s="3" t="n">
        <v>7.85</v>
      </c>
      <c r="T6" s="3" t="n">
        <v>0.64</v>
      </c>
      <c r="U6" s="2" t="inlineStr"/>
      <c r="V6" s="3" t="n">
        <v>54.28373094186507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0.25</v>
      </c>
      <c r="AB6" s="6" t="n">
        <v>0</v>
      </c>
      <c r="AC6" s="5" t="n">
        <v>0.5</v>
      </c>
      <c r="AD6" s="6" t="n">
        <v>0.25</v>
      </c>
      <c r="AE6" s="6" t="n">
        <v>0.25</v>
      </c>
      <c r="AF6" s="6" t="n">
        <v>0</v>
      </c>
      <c r="AG6" s="6" t="n">
        <v>0</v>
      </c>
      <c r="AH6" s="6" t="n">
        <v>0</v>
      </c>
      <c r="AI6" s="6" t="n">
        <v>0</v>
      </c>
      <c r="AJ6" s="6" t="n">
        <v>0.25</v>
      </c>
      <c r="AK6" s="6" t="n">
        <v>0.25</v>
      </c>
      <c r="AL6" s="4" t="n">
        <v>0.75</v>
      </c>
      <c r="AM6" s="6" t="n">
        <v>0</v>
      </c>
      <c r="AN6" s="6" t="n">
        <v>0</v>
      </c>
      <c r="AO6" s="2" t="inlineStr"/>
      <c r="AP6" s="6" t="n">
        <v>0</v>
      </c>
    </row>
    <row r="7">
      <c r="A7" s="9" t="inlineStr">
        <is>
          <t>Peer Median</t>
        </is>
      </c>
      <c r="B7" s="9" t="inlineStr">
        <is>
          <t>Peer Group Median</t>
        </is>
      </c>
      <c r="C7" s="9">
        <f>MEDIAN(C2:C6)</f>
        <v/>
      </c>
      <c r="D7" s="9">
        <f>MEDIAN(D2:D6)</f>
        <v/>
      </c>
      <c r="E7" s="9">
        <f>MEDIAN(E2:E6)</f>
        <v/>
      </c>
      <c r="F7" s="9">
        <f>MEDIAN(F2:F6)</f>
        <v/>
      </c>
      <c r="G7" s="9">
        <f>MEDIAN(G2:G6)</f>
        <v/>
      </c>
      <c r="H7" s="9">
        <f>MEDIAN(H2:H6)</f>
        <v/>
      </c>
      <c r="I7" s="9">
        <f>MEDIAN(I2:I6)</f>
        <v/>
      </c>
      <c r="J7" s="9">
        <f>MEDIAN(J2:J6)</f>
        <v/>
      </c>
      <c r="K7" s="9">
        <f>MEDIAN(K2:K6)</f>
        <v/>
      </c>
      <c r="L7" s="9">
        <f>MEDIAN(L2:L6)</f>
        <v/>
      </c>
      <c r="M7" s="9">
        <f>MEDIAN(M2:M6)</f>
        <v/>
      </c>
      <c r="N7" s="9">
        <f>MEDIAN(N2:N6)</f>
        <v/>
      </c>
      <c r="O7" s="9">
        <f>MEDIAN(O2:O6)</f>
        <v/>
      </c>
      <c r="P7" s="9">
        <f>MEDIAN(P2:P6)</f>
        <v/>
      </c>
      <c r="Q7" s="9">
        <f>MEDIAN(Q2:Q6)</f>
        <v/>
      </c>
      <c r="R7" s="9">
        <f>MEDIAN(R2:R6)</f>
        <v/>
      </c>
      <c r="S7" s="9">
        <f>MEDIAN(S2:S6)</f>
        <v/>
      </c>
      <c r="T7" s="9">
        <f>MEDIAN(T2:T6)</f>
        <v/>
      </c>
      <c r="U7" s="9">
        <f>MEDIAN(U2:U6)</f>
        <v/>
      </c>
      <c r="V7" s="9">
        <f>MEDIAN(V2:V6)</f>
        <v/>
      </c>
      <c r="W7" s="9">
        <f>MEDIAN(W2:W6)</f>
        <v/>
      </c>
      <c r="X7" s="9">
        <f>MEDIAN(X2:X6)</f>
        <v/>
      </c>
      <c r="Y7" s="9">
        <f>MEDIAN(Y2:Y6)</f>
        <v/>
      </c>
      <c r="Z7" s="9">
        <f>MEDIAN(Z2:Z6)</f>
        <v/>
      </c>
      <c r="AA7" s="9">
        <f>MEDIAN(AA2:AA6)</f>
        <v/>
      </c>
      <c r="AB7" s="9">
        <f>MEDIAN(AB2:AB6)</f>
        <v/>
      </c>
      <c r="AC7" s="9">
        <f>MEDIAN(AC2:AC6)</f>
        <v/>
      </c>
      <c r="AD7" s="9">
        <f>MEDIAN(AD2:AD6)</f>
        <v/>
      </c>
      <c r="AE7" s="9">
        <f>MEDIAN(AE2:AE6)</f>
        <v/>
      </c>
      <c r="AF7" s="9">
        <f>MEDIAN(AF2:AF6)</f>
        <v/>
      </c>
      <c r="AG7" s="9">
        <f>MEDIAN(AG2:AG6)</f>
        <v/>
      </c>
      <c r="AH7" s="9">
        <f>MEDIAN(AH2:AH6)</f>
        <v/>
      </c>
      <c r="AI7" s="9">
        <f>MEDIAN(AI2:AI6)</f>
        <v/>
      </c>
      <c r="AJ7" s="9">
        <f>MEDIAN(AJ2:AJ6)</f>
        <v/>
      </c>
      <c r="AK7" s="9">
        <f>MEDIAN(AK2:AK6)</f>
        <v/>
      </c>
      <c r="AL7" s="9">
        <f>MEDIAN(AL2:AL6)</f>
        <v/>
      </c>
      <c r="AM7" s="9">
        <f>MEDIAN(AM2:AM6)</f>
        <v/>
      </c>
      <c r="AN7" s="9">
        <f>MEDIAN(AN2:AN6)</f>
        <v/>
      </c>
      <c r="AO7" s="9">
        <f>MEDIAN(AO2:AO6)</f>
        <v/>
      </c>
      <c r="AP7" s="9">
        <f>MEDIAN(AP2:AP6)</f>
        <v/>
      </c>
    </row>
  </sheetData>
  <autoFilter ref="A1:AP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Operating Profit Margin</t>
        </is>
      </c>
      <c r="G1" s="1" t="inlineStr">
        <is>
          <t>D/E</t>
        </is>
      </c>
      <c r="H1" s="1" t="inlineStr">
        <is>
          <t>Interest Coverage</t>
        </is>
      </c>
      <c r="I1" s="1" t="inlineStr">
        <is>
          <t>Asset Turnover</t>
        </is>
      </c>
      <c r="J1" s="1" t="inlineStr">
        <is>
          <t>Free Cash Flow</t>
        </is>
      </c>
      <c r="K1" s="1" t="inlineStr">
        <is>
          <t>Cash From Operations</t>
        </is>
      </c>
      <c r="L1" s="1" t="inlineStr">
        <is>
          <t>PAT CAGR 5yr</t>
        </is>
      </c>
      <c r="M1" s="1" t="inlineStr">
        <is>
          <t>Revenue CAGR 5yr</t>
        </is>
      </c>
      <c r="N1" s="1" t="inlineStr">
        <is>
          <t>EPS CAGR 5yr</t>
        </is>
      </c>
      <c r="O1" s="1" t="inlineStr">
        <is>
          <t>Net Profit</t>
        </is>
      </c>
      <c r="P1" s="1" t="inlineStr">
        <is>
          <t>Sales</t>
        </is>
      </c>
      <c r="Q1" s="1" t="inlineStr">
        <is>
          <t>P/E</t>
        </is>
      </c>
      <c r="R1" s="1" t="inlineStr">
        <is>
          <t>P/B</t>
        </is>
      </c>
      <c r="S1" s="1" t="inlineStr">
        <is>
          <t>EV/EBITDA</t>
        </is>
      </c>
      <c r="T1" s="1" t="inlineStr">
        <is>
          <t>Dividend Yield</t>
        </is>
      </c>
      <c r="U1" s="1" t="inlineStr">
        <is>
          <t>Dividend Payout</t>
        </is>
      </c>
      <c r="V1" s="1" t="inlineStr">
        <is>
          <t>Composite Score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Operating Profit Margin Percentile</t>
        </is>
      </c>
      <c r="AA1" s="1" t="inlineStr">
        <is>
          <t>D/E Percentile</t>
        </is>
      </c>
      <c r="AB1" s="1" t="inlineStr">
        <is>
          <t>Interest Coverage Percentile</t>
        </is>
      </c>
      <c r="AC1" s="1" t="inlineStr">
        <is>
          <t>Asset Turnover Percentile</t>
        </is>
      </c>
      <c r="AD1" s="1" t="inlineStr">
        <is>
          <t>Free Cash Flow Percentile</t>
        </is>
      </c>
      <c r="AE1" s="1" t="inlineStr">
        <is>
          <t>Cash From Operations Percentile</t>
        </is>
      </c>
      <c r="AF1" s="1" t="inlineStr">
        <is>
          <t>PAT CAGR 5yr Percentile</t>
        </is>
      </c>
      <c r="AG1" s="1" t="inlineStr">
        <is>
          <t>Revenue CAGR 5yr Percentile</t>
        </is>
      </c>
      <c r="AH1" s="1" t="inlineStr">
        <is>
          <t>EPS CAGR 5yr Percentile</t>
        </is>
      </c>
      <c r="AI1" s="1" t="inlineStr">
        <is>
          <t>Net Profit Percentile</t>
        </is>
      </c>
      <c r="AJ1" s="1" t="inlineStr">
        <is>
          <t>Sales Percentile</t>
        </is>
      </c>
      <c r="AK1" s="1" t="inlineStr">
        <is>
          <t>P/E Percentile</t>
        </is>
      </c>
      <c r="AL1" s="1" t="inlineStr">
        <is>
          <t>P/B Percentile</t>
        </is>
      </c>
      <c r="AM1" s="1" t="inlineStr">
        <is>
          <t>EV/EBITDA Percentile</t>
        </is>
      </c>
      <c r="AN1" s="1" t="inlineStr">
        <is>
          <t>Dividend Yield Percentile</t>
        </is>
      </c>
      <c r="AO1" s="1" t="inlineStr">
        <is>
          <t>Dividend Payout Percentile</t>
        </is>
      </c>
      <c r="AP1" s="1" t="inlineStr">
        <is>
          <t>Composite Score Percentile</t>
        </is>
      </c>
    </row>
    <row r="2">
      <c r="A2" s="2" t="inlineStr">
        <is>
          <t>HDFCLIFE</t>
        </is>
      </c>
      <c r="B2" s="2" t="inlineStr">
        <is>
          <t>HDFC Life Insurance Company Ltd</t>
        </is>
      </c>
      <c r="C2" s="3" t="n">
        <v>10.73230601390972</v>
      </c>
      <c r="D2" s="3" t="n">
        <v>646.4587602459017</v>
      </c>
      <c r="E2" s="3" t="n">
        <v>1.551013972921306</v>
      </c>
      <c r="F2" s="3" t="n">
        <v>99.47675449833469</v>
      </c>
      <c r="G2" s="3" t="n">
        <v>0.06477567162143734</v>
      </c>
      <c r="H2" s="3" t="n">
        <v>192.2895238095238</v>
      </c>
      <c r="I2" s="3" t="n">
        <v>0.3352704278677314</v>
      </c>
      <c r="J2" s="3" t="n">
        <v>-2893</v>
      </c>
      <c r="K2" s="3" t="n">
        <v>10721</v>
      </c>
      <c r="L2" s="3" t="n">
        <v>4.25449161597129</v>
      </c>
      <c r="M2" s="3" t="n">
        <v>21.16813430936688</v>
      </c>
      <c r="N2" s="3" t="n">
        <v>3.131030647754507</v>
      </c>
      <c r="O2" s="3" t="n">
        <v>1747</v>
      </c>
      <c r="P2" s="3" t="n">
        <v>100772</v>
      </c>
      <c r="Q2" s="3" t="n">
        <v>50.59</v>
      </c>
      <c r="R2" s="3" t="n">
        <v>11.28</v>
      </c>
      <c r="S2" s="3" t="n">
        <v>31.63</v>
      </c>
      <c r="T2" s="3" t="n">
        <v>3.22</v>
      </c>
      <c r="U2" s="2" t="inlineStr"/>
      <c r="V2" s="3" t="n">
        <v>62.04186684431286</v>
      </c>
      <c r="W2" s="5" t="n">
        <v>0.3333333333333333</v>
      </c>
      <c r="X2" s="5" t="n">
        <v>0.6666666666666666</v>
      </c>
      <c r="Y2" s="5" t="n">
        <v>0.6666666666666666</v>
      </c>
      <c r="Z2" s="5" t="n">
        <v>0.6666666666666666</v>
      </c>
      <c r="AA2" s="5" t="n">
        <v>0.3333333333333334</v>
      </c>
      <c r="AB2" s="5" t="n">
        <v>0.3333333333333333</v>
      </c>
      <c r="AC2" s="4" t="n">
        <v>1</v>
      </c>
      <c r="AD2" s="6" t="n">
        <v>0</v>
      </c>
      <c r="AE2" s="5" t="n">
        <v>0.3333333333333333</v>
      </c>
      <c r="AF2" s="5" t="n">
        <v>0.3333333333333333</v>
      </c>
      <c r="AG2" s="5" t="n">
        <v>0.6666666666666666</v>
      </c>
      <c r="AH2" s="5" t="n">
        <v>0.5</v>
      </c>
      <c r="AI2" s="5" t="n">
        <v>0.3333333333333333</v>
      </c>
      <c r="AJ2" s="5" t="n">
        <v>0.3333333333333333</v>
      </c>
      <c r="AK2" s="5" t="n">
        <v>0.6666666666666666</v>
      </c>
      <c r="AL2" s="5" t="n">
        <v>0.6666666666666666</v>
      </c>
      <c r="AM2" s="4" t="n">
        <v>1</v>
      </c>
      <c r="AN2" s="5" t="n">
        <v>0.6666666666666666</v>
      </c>
      <c r="AO2" s="2" t="inlineStr"/>
      <c r="AP2" s="5" t="n">
        <v>0.3333333333333333</v>
      </c>
    </row>
    <row r="3">
      <c r="A3" s="2" t="inlineStr">
        <is>
          <t>ICICIPRULI</t>
        </is>
      </c>
      <c r="B3" s="2" t="inlineStr">
        <is>
          <t>ICICI Prudential Life Insurance Company Ltd</t>
        </is>
      </c>
      <c r="C3" s="3" t="n">
        <v>7.732848705134029</v>
      </c>
      <c r="D3" s="3" t="n">
        <v>754.9037279803359</v>
      </c>
      <c r="E3" s="3" t="n">
        <v>0.942341125272681</v>
      </c>
      <c r="F3" s="3" t="n">
        <v>102.0253136523193</v>
      </c>
      <c r="G3" s="3" t="n">
        <v>0.1090413448432531</v>
      </c>
      <c r="H3" s="3" t="n">
        <v>31.02154882154882</v>
      </c>
      <c r="I3" s="3" t="n">
        <v>0.3020290902037117</v>
      </c>
      <c r="J3" s="3" t="n">
        <v>105</v>
      </c>
      <c r="K3" s="3" t="n">
        <v>-7315</v>
      </c>
      <c r="L3" s="3" t="n">
        <v>-5.663194189152343</v>
      </c>
      <c r="M3" s="3" t="n">
        <v>16.84553965244746</v>
      </c>
      <c r="N3" s="3" t="n">
        <v>-5.591248870509801</v>
      </c>
      <c r="O3" s="3" t="n">
        <v>974</v>
      </c>
      <c r="P3" s="3" t="n">
        <v>77572</v>
      </c>
      <c r="Q3" s="3" t="n">
        <v>20.83</v>
      </c>
      <c r="R3" s="3" t="n">
        <v>12.38</v>
      </c>
      <c r="S3" s="3" t="n">
        <v>22.57</v>
      </c>
      <c r="T3" s="3" t="n">
        <v>0.35</v>
      </c>
      <c r="U3" s="2" t="inlineStr"/>
      <c r="V3" s="3" t="n">
        <v>56.5776542758631</v>
      </c>
      <c r="W3" s="6" t="n">
        <v>0</v>
      </c>
      <c r="X3" s="4" t="n">
        <v>1</v>
      </c>
      <c r="Y3" s="6" t="n">
        <v>0</v>
      </c>
      <c r="Z3" s="4" t="n">
        <v>1</v>
      </c>
      <c r="AA3" s="6" t="n">
        <v>0</v>
      </c>
      <c r="AB3" s="6" t="n">
        <v>0</v>
      </c>
      <c r="AC3" s="5" t="n">
        <v>0.3333333333333333</v>
      </c>
      <c r="AD3" s="5" t="n">
        <v>0.6666666666666666</v>
      </c>
      <c r="AE3" s="6" t="n">
        <v>0</v>
      </c>
      <c r="AF3" s="6" t="n">
        <v>0</v>
      </c>
      <c r="AG3" s="5" t="n">
        <v>0.3333333333333333</v>
      </c>
      <c r="AH3" s="6" t="n">
        <v>0</v>
      </c>
      <c r="AI3" s="6" t="n">
        <v>0</v>
      </c>
      <c r="AJ3" s="6" t="n">
        <v>0</v>
      </c>
      <c r="AK3" s="6" t="n">
        <v>0</v>
      </c>
      <c r="AL3" s="4" t="n">
        <v>1</v>
      </c>
      <c r="AM3" s="5" t="n">
        <v>0.3333333333333333</v>
      </c>
      <c r="AN3" s="6" t="n">
        <v>0</v>
      </c>
      <c r="AO3" s="2" t="inlineStr"/>
      <c r="AP3" s="6" t="n">
        <v>0</v>
      </c>
    </row>
    <row r="4">
      <c r="A4" s="7" t="inlineStr">
        <is>
          <t>LICI</t>
        </is>
      </c>
      <c r="B4" s="7" t="inlineStr">
        <is>
          <t>Life Insurance Corporation of India</t>
        </is>
      </c>
      <c r="C4" s="8" t="n">
        <v>49.44710986501021</v>
      </c>
      <c r="D4" s="8" t="n">
        <v>39.61352073186944</v>
      </c>
      <c r="E4" s="8" t="n">
        <v>4.836600998148862</v>
      </c>
      <c r="F4" s="8" t="n">
        <v>3.87474201090824</v>
      </c>
      <c r="G4" s="8" t="n">
        <v>0</v>
      </c>
      <c r="H4" s="8" t="n">
        <v>371.9375</v>
      </c>
      <c r="I4" s="8" t="n">
        <v>0.1591344094587576</v>
      </c>
      <c r="J4" s="8" t="n">
        <v>853</v>
      </c>
      <c r="K4" s="8" t="n">
        <v>26122</v>
      </c>
      <c r="L4" s="8" t="n">
        <v>73.17556747076097</v>
      </c>
      <c r="M4" s="8" t="n">
        <v>8.15986061977938</v>
      </c>
      <c r="N4" s="7" t="inlineStr"/>
      <c r="O4" s="8" t="n">
        <v>41468</v>
      </c>
      <c r="P4" s="8" t="n">
        <v>896106</v>
      </c>
      <c r="Q4" s="8" t="n">
        <v>30.67</v>
      </c>
      <c r="R4" s="8" t="n">
        <v>8.1</v>
      </c>
      <c r="S4" s="8" t="n">
        <v>12.21</v>
      </c>
      <c r="T4" s="8" t="n">
        <v>3.77</v>
      </c>
      <c r="U4" s="7" t="inlineStr"/>
      <c r="V4" s="8" t="n">
        <v>68.6643077452855</v>
      </c>
      <c r="W4" s="4" t="n">
        <v>1</v>
      </c>
      <c r="X4" s="5" t="n">
        <v>0.3333333333333333</v>
      </c>
      <c r="Y4" s="4" t="n">
        <v>1</v>
      </c>
      <c r="Z4" s="5" t="n">
        <v>0.3333333333333333</v>
      </c>
      <c r="AA4" s="4" t="n">
        <v>1</v>
      </c>
      <c r="AB4" s="4" t="n">
        <v>1</v>
      </c>
      <c r="AC4" s="6" t="n">
        <v>0</v>
      </c>
      <c r="AD4" s="4" t="n">
        <v>1</v>
      </c>
      <c r="AE4" s="5" t="n">
        <v>0.6666666666666666</v>
      </c>
      <c r="AF4" s="4" t="n">
        <v>1</v>
      </c>
      <c r="AG4" s="6" t="n">
        <v>0</v>
      </c>
      <c r="AH4" s="2" t="inlineStr"/>
      <c r="AI4" s="4" t="n">
        <v>1</v>
      </c>
      <c r="AJ4" s="4" t="n">
        <v>1</v>
      </c>
      <c r="AK4" s="5" t="n">
        <v>0.3333333333333333</v>
      </c>
      <c r="AL4" s="6" t="n">
        <v>0</v>
      </c>
      <c r="AM4" s="6" t="n">
        <v>0</v>
      </c>
      <c r="AN4" s="4" t="n">
        <v>1</v>
      </c>
      <c r="AO4" s="2" t="inlineStr"/>
      <c r="AP4" s="4" t="n">
        <v>1</v>
      </c>
    </row>
    <row r="5">
      <c r="A5" s="2" t="inlineStr">
        <is>
          <t>SBILIFE</t>
        </is>
      </c>
      <c r="B5" s="2" t="inlineStr">
        <is>
          <t>SBI Life Insurance Company Ltd</t>
        </is>
      </c>
      <c r="C5" s="3" t="n">
        <v>12.70458814059566</v>
      </c>
      <c r="D5" s="3" t="n">
        <v>1.650120740541991</v>
      </c>
      <c r="E5" s="3" t="n">
        <v>1.434978937479165</v>
      </c>
      <c r="F5" s="3" t="n">
        <v>0.1863805800527321</v>
      </c>
      <c r="G5" s="3" t="n">
        <v>0</v>
      </c>
      <c r="H5" s="3" t="n">
        <v>240.3333333333333</v>
      </c>
      <c r="I5" s="3" t="n">
        <v>0.3313791900054984</v>
      </c>
      <c r="J5" s="3" t="n">
        <v>-2099</v>
      </c>
      <c r="K5" s="3" t="n">
        <v>29122</v>
      </c>
      <c r="L5" s="3" t="n">
        <v>7.374662152227485</v>
      </c>
      <c r="M5" s="3" t="n">
        <v>24.23161418236754</v>
      </c>
      <c r="N5" s="3" t="n">
        <v>7.885244396237145</v>
      </c>
      <c r="O5" s="3" t="n">
        <v>2411</v>
      </c>
      <c r="P5" s="3" t="n">
        <v>130073</v>
      </c>
      <c r="Q5" s="3" t="n">
        <v>69.98</v>
      </c>
      <c r="R5" s="3" t="n">
        <v>9.48</v>
      </c>
      <c r="S5" s="3" t="n">
        <v>31.04</v>
      </c>
      <c r="T5" s="3" t="n">
        <v>1.62</v>
      </c>
      <c r="U5" s="2" t="inlineStr"/>
      <c r="V5" s="3" t="n">
        <v>65.58078750696157</v>
      </c>
      <c r="W5" s="5" t="n">
        <v>0.6666666666666666</v>
      </c>
      <c r="X5" s="6" t="n">
        <v>0</v>
      </c>
      <c r="Y5" s="5" t="n">
        <v>0.3333333333333333</v>
      </c>
      <c r="Z5" s="6" t="n">
        <v>0</v>
      </c>
      <c r="AA5" s="4" t="n">
        <v>1</v>
      </c>
      <c r="AB5" s="5" t="n">
        <v>0.6666666666666666</v>
      </c>
      <c r="AC5" s="5" t="n">
        <v>0.6666666666666666</v>
      </c>
      <c r="AD5" s="5" t="n">
        <v>0.3333333333333333</v>
      </c>
      <c r="AE5" s="4" t="n">
        <v>1</v>
      </c>
      <c r="AF5" s="5" t="n">
        <v>0.6666666666666666</v>
      </c>
      <c r="AG5" s="4" t="n">
        <v>1</v>
      </c>
      <c r="AH5" s="4" t="n">
        <v>1</v>
      </c>
      <c r="AI5" s="5" t="n">
        <v>0.6666666666666666</v>
      </c>
      <c r="AJ5" s="5" t="n">
        <v>0.6666666666666666</v>
      </c>
      <c r="AK5" s="4" t="n">
        <v>1</v>
      </c>
      <c r="AL5" s="5" t="n">
        <v>0.3333333333333333</v>
      </c>
      <c r="AM5" s="5" t="n">
        <v>0.6666666666666666</v>
      </c>
      <c r="AN5" s="5" t="n">
        <v>0.3333333333333333</v>
      </c>
      <c r="AO5" s="2" t="inlineStr"/>
      <c r="AP5" s="5" t="n">
        <v>0.6666666666666666</v>
      </c>
    </row>
    <row r="6">
      <c r="A6" s="9" t="inlineStr">
        <is>
          <t>Peer Median</t>
        </is>
      </c>
      <c r="B6" s="9" t="inlineStr">
        <is>
          <t>Peer Group Median</t>
        </is>
      </c>
      <c r="C6" s="9">
        <f>MEDIAN(C2:C5)</f>
        <v/>
      </c>
      <c r="D6" s="9">
        <f>MEDIAN(D2:D5)</f>
        <v/>
      </c>
      <c r="E6" s="9">
        <f>MEDIAN(E2:E5)</f>
        <v/>
      </c>
      <c r="F6" s="9">
        <f>MEDIAN(F2:F5)</f>
        <v/>
      </c>
      <c r="G6" s="9">
        <f>MEDIAN(G2:G5)</f>
        <v/>
      </c>
      <c r="H6" s="9">
        <f>MEDIAN(H2:H5)</f>
        <v/>
      </c>
      <c r="I6" s="9">
        <f>MEDIAN(I2:I5)</f>
        <v/>
      </c>
      <c r="J6" s="9">
        <f>MEDIAN(J2:J5)</f>
        <v/>
      </c>
      <c r="K6" s="9">
        <f>MEDIAN(K2:K5)</f>
        <v/>
      </c>
      <c r="L6" s="9">
        <f>MEDIAN(L2:L5)</f>
        <v/>
      </c>
      <c r="M6" s="9">
        <f>MEDIAN(M2:M5)</f>
        <v/>
      </c>
      <c r="N6" s="9">
        <f>MEDIAN(N2:N5)</f>
        <v/>
      </c>
      <c r="O6" s="9">
        <f>MEDIAN(O2:O5)</f>
        <v/>
      </c>
      <c r="P6" s="9">
        <f>MEDIAN(P2:P5)</f>
        <v/>
      </c>
      <c r="Q6" s="9">
        <f>MEDIAN(Q2:Q5)</f>
        <v/>
      </c>
      <c r="R6" s="9">
        <f>MEDIAN(R2:R5)</f>
        <v/>
      </c>
      <c r="S6" s="9">
        <f>MEDIAN(S2:S5)</f>
        <v/>
      </c>
      <c r="T6" s="9">
        <f>MEDIAN(T2:T5)</f>
        <v/>
      </c>
      <c r="U6" s="9">
        <f>MEDIAN(U2:U5)</f>
        <v/>
      </c>
      <c r="V6" s="9">
        <f>MEDIAN(V2:V5)</f>
        <v/>
      </c>
      <c r="W6" s="9">
        <f>MEDIAN(W2:W5)</f>
        <v/>
      </c>
      <c r="X6" s="9">
        <f>MEDIAN(X2:X5)</f>
        <v/>
      </c>
      <c r="Y6" s="9">
        <f>MEDIAN(Y2:Y5)</f>
        <v/>
      </c>
      <c r="Z6" s="9">
        <f>MEDIAN(Z2:Z5)</f>
        <v/>
      </c>
      <c r="AA6" s="9">
        <f>MEDIAN(AA2:AA5)</f>
        <v/>
      </c>
      <c r="AB6" s="9">
        <f>MEDIAN(AB2:AB5)</f>
        <v/>
      </c>
      <c r="AC6" s="9">
        <f>MEDIAN(AC2:AC5)</f>
        <v/>
      </c>
      <c r="AD6" s="9">
        <f>MEDIAN(AD2:AD5)</f>
        <v/>
      </c>
      <c r="AE6" s="9">
        <f>MEDIAN(AE2:AE5)</f>
        <v/>
      </c>
      <c r="AF6" s="9">
        <f>MEDIAN(AF2:AF5)</f>
        <v/>
      </c>
      <c r="AG6" s="9">
        <f>MEDIAN(AG2:AG5)</f>
        <v/>
      </c>
      <c r="AH6" s="9">
        <f>MEDIAN(AH2:AH5)</f>
        <v/>
      </c>
      <c r="AI6" s="9">
        <f>MEDIAN(AI2:AI5)</f>
        <v/>
      </c>
      <c r="AJ6" s="9">
        <f>MEDIAN(AJ2:AJ5)</f>
        <v/>
      </c>
      <c r="AK6" s="9">
        <f>MEDIAN(AK2:AK5)</f>
        <v/>
      </c>
      <c r="AL6" s="9">
        <f>MEDIAN(AL2:AL5)</f>
        <v/>
      </c>
      <c r="AM6" s="9">
        <f>MEDIAN(AM2:AM5)</f>
        <v/>
      </c>
      <c r="AN6" s="9">
        <f>MEDIAN(AN2:AN5)</f>
        <v/>
      </c>
      <c r="AO6" s="9">
        <f>MEDIAN(AO2:AO5)</f>
        <v/>
      </c>
      <c r="AP6" s="9">
        <f>MEDIAN(AP2:AP5)</f>
        <v/>
      </c>
    </row>
  </sheetData>
  <autoFilter ref="A1:AP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Operating Profit Margin</t>
        </is>
      </c>
      <c r="G1" s="1" t="inlineStr">
        <is>
          <t>D/E</t>
        </is>
      </c>
      <c r="H1" s="1" t="inlineStr">
        <is>
          <t>Interest Coverage</t>
        </is>
      </c>
      <c r="I1" s="1" t="inlineStr">
        <is>
          <t>Asset Turnover</t>
        </is>
      </c>
      <c r="J1" s="1" t="inlineStr">
        <is>
          <t>Free Cash Flow</t>
        </is>
      </c>
      <c r="K1" s="1" t="inlineStr">
        <is>
          <t>Cash From Operations</t>
        </is>
      </c>
      <c r="L1" s="1" t="inlineStr">
        <is>
          <t>PAT CAGR 5yr</t>
        </is>
      </c>
      <c r="M1" s="1" t="inlineStr">
        <is>
          <t>Revenue CAGR 5yr</t>
        </is>
      </c>
      <c r="N1" s="1" t="inlineStr">
        <is>
          <t>EPS CAGR 5yr</t>
        </is>
      </c>
      <c r="O1" s="1" t="inlineStr">
        <is>
          <t>Net Profit</t>
        </is>
      </c>
      <c r="P1" s="1" t="inlineStr">
        <is>
          <t>Sales</t>
        </is>
      </c>
      <c r="Q1" s="1" t="inlineStr">
        <is>
          <t>P/E</t>
        </is>
      </c>
      <c r="R1" s="1" t="inlineStr">
        <is>
          <t>P/B</t>
        </is>
      </c>
      <c r="S1" s="1" t="inlineStr">
        <is>
          <t>EV/EBITDA</t>
        </is>
      </c>
      <c r="T1" s="1" t="inlineStr">
        <is>
          <t>Dividend Yield</t>
        </is>
      </c>
      <c r="U1" s="1" t="inlineStr">
        <is>
          <t>Dividend Payout</t>
        </is>
      </c>
      <c r="V1" s="1" t="inlineStr">
        <is>
          <t>Composite Score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Operating Profit Margin Percentile</t>
        </is>
      </c>
      <c r="AA1" s="1" t="inlineStr">
        <is>
          <t>D/E Percentile</t>
        </is>
      </c>
      <c r="AB1" s="1" t="inlineStr">
        <is>
          <t>Interest Coverage Percentile</t>
        </is>
      </c>
      <c r="AC1" s="1" t="inlineStr">
        <is>
          <t>Asset Turnover Percentile</t>
        </is>
      </c>
      <c r="AD1" s="1" t="inlineStr">
        <is>
          <t>Free Cash Flow Percentile</t>
        </is>
      </c>
      <c r="AE1" s="1" t="inlineStr">
        <is>
          <t>Cash From Operations Percentile</t>
        </is>
      </c>
      <c r="AF1" s="1" t="inlineStr">
        <is>
          <t>PAT CAGR 5yr Percentile</t>
        </is>
      </c>
      <c r="AG1" s="1" t="inlineStr">
        <is>
          <t>Revenue CAGR 5yr Percentile</t>
        </is>
      </c>
      <c r="AH1" s="1" t="inlineStr">
        <is>
          <t>EPS CAGR 5yr Percentile</t>
        </is>
      </c>
      <c r="AI1" s="1" t="inlineStr">
        <is>
          <t>Net Profit Percentile</t>
        </is>
      </c>
      <c r="AJ1" s="1" t="inlineStr">
        <is>
          <t>Sales Percentile</t>
        </is>
      </c>
      <c r="AK1" s="1" t="inlineStr">
        <is>
          <t>P/E Percentile</t>
        </is>
      </c>
      <c r="AL1" s="1" t="inlineStr">
        <is>
          <t>P/B Percentile</t>
        </is>
      </c>
      <c r="AM1" s="1" t="inlineStr">
        <is>
          <t>EV/EBITDA Percentile</t>
        </is>
      </c>
      <c r="AN1" s="1" t="inlineStr">
        <is>
          <t>Dividend Yield Percentile</t>
        </is>
      </c>
      <c r="AO1" s="1" t="inlineStr">
        <is>
          <t>Dividend Payout Percentile</t>
        </is>
      </c>
      <c r="AP1" s="1" t="inlineStr">
        <is>
          <t>Composite Score Percentile</t>
        </is>
      </c>
    </row>
    <row r="2">
      <c r="A2" s="2" t="inlineStr">
        <is>
          <t>BPCL</t>
        </is>
      </c>
      <c r="B2" s="2" t="inlineStr">
        <is>
          <t>Bharat Petroleum Corporation Ltd</t>
        </is>
      </c>
      <c r="C2" s="3" t="n">
        <v>35.51133734382231</v>
      </c>
      <c r="D2" s="3" t="n">
        <v>33.84830382235054</v>
      </c>
      <c r="E2" s="3" t="n">
        <v>5.994201967046283</v>
      </c>
      <c r="F2" s="3" t="n">
        <v>9.837909494446341</v>
      </c>
      <c r="G2" s="3" t="n">
        <v>0.7218747934157467</v>
      </c>
      <c r="H2" s="3" t="n">
        <v>11.35550735116896</v>
      </c>
      <c r="I2" s="3" t="n">
        <v>2.213651947949293</v>
      </c>
      <c r="J2" s="3" t="n">
        <v>25415</v>
      </c>
      <c r="K2" s="3" t="n">
        <v>35936</v>
      </c>
      <c r="L2" s="3" t="n">
        <v>25.79069872974655</v>
      </c>
      <c r="M2" s="3" t="n">
        <v>8.483226324685255</v>
      </c>
      <c r="N2" s="3" t="n">
        <v>28.06304880261565</v>
      </c>
      <c r="O2" s="3" t="n">
        <v>13734</v>
      </c>
      <c r="P2" s="3" t="n">
        <v>445601</v>
      </c>
      <c r="Q2" s="3" t="n">
        <v>68.15000000000001</v>
      </c>
      <c r="R2" s="3" t="n">
        <v>0.72</v>
      </c>
      <c r="S2" s="3" t="n">
        <v>26.59</v>
      </c>
      <c r="T2" s="3" t="n">
        <v>1.15</v>
      </c>
      <c r="U2" s="2" t="inlineStr"/>
      <c r="V2" s="3" t="n">
        <v>66.76411968749137</v>
      </c>
      <c r="W2" s="4" t="n">
        <v>1</v>
      </c>
      <c r="X2" s="4" t="n">
        <v>1</v>
      </c>
      <c r="Y2" s="6" t="n">
        <v>0.25</v>
      </c>
      <c r="Z2" s="6" t="n">
        <v>0.25</v>
      </c>
      <c r="AA2" s="6" t="n">
        <v>0.25</v>
      </c>
      <c r="AB2" s="5" t="n">
        <v>0.5</v>
      </c>
      <c r="AC2" s="4" t="n">
        <v>1</v>
      </c>
      <c r="AD2" s="6" t="n">
        <v>0.25</v>
      </c>
      <c r="AE2" s="6" t="n">
        <v>0.25</v>
      </c>
      <c r="AF2" s="4" t="n">
        <v>1</v>
      </c>
      <c r="AG2" s="5" t="n">
        <v>0.5</v>
      </c>
      <c r="AH2" s="4" t="n">
        <v>1</v>
      </c>
      <c r="AI2" s="5" t="n">
        <v>0.5</v>
      </c>
      <c r="AJ2" s="6" t="n">
        <v>0.25</v>
      </c>
      <c r="AK2" s="4" t="n">
        <v>1</v>
      </c>
      <c r="AL2" s="6" t="n">
        <v>0</v>
      </c>
      <c r="AM2" s="5" t="n">
        <v>0.5</v>
      </c>
      <c r="AN2" s="5" t="n">
        <v>0.5</v>
      </c>
      <c r="AO2" s="2" t="inlineStr"/>
      <c r="AP2" s="4" t="n">
        <v>1</v>
      </c>
    </row>
    <row r="3">
      <c r="A3" s="2" t="inlineStr">
        <is>
          <t>GAIL</t>
        </is>
      </c>
      <c r="B3" s="2" t="inlineStr">
        <is>
          <t>GAIL (India) Ltd</t>
        </is>
      </c>
      <c r="C3" s="3" t="n">
        <v>12.86154006000234</v>
      </c>
      <c r="D3" s="3" t="n">
        <v>14.48917411505096</v>
      </c>
      <c r="E3" s="3" t="n">
        <v>7.433122166511544</v>
      </c>
      <c r="F3" s="3" t="n">
        <v>10.74398775032275</v>
      </c>
      <c r="G3" s="3" t="n">
        <v>0.2830499889606088</v>
      </c>
      <c r="H3" s="3" t="n">
        <v>23.62447844228095</v>
      </c>
      <c r="I3" s="3" t="n">
        <v>1.068088347296268</v>
      </c>
      <c r="J3" s="3" t="n">
        <v>4360</v>
      </c>
      <c r="K3" s="3" t="n">
        <v>12586</v>
      </c>
      <c r="L3" s="3" t="n">
        <v>8.608876760374562</v>
      </c>
      <c r="M3" s="3" t="n">
        <v>11.82515452182427</v>
      </c>
      <c r="N3" s="3" t="n">
        <v>8.447177119769854</v>
      </c>
      <c r="O3" s="3" t="n">
        <v>11541</v>
      </c>
      <c r="P3" s="3" t="n">
        <v>136081</v>
      </c>
      <c r="Q3" s="3" t="n">
        <v>25.84</v>
      </c>
      <c r="R3" s="3" t="n">
        <v>9.539999999999999</v>
      </c>
      <c r="S3" s="3" t="n">
        <v>33.07</v>
      </c>
      <c r="T3" s="3" t="n">
        <v>0.31</v>
      </c>
      <c r="U3" s="2" t="inlineStr"/>
      <c r="V3" s="3" t="n">
        <v>60.28101120971634</v>
      </c>
      <c r="W3" s="6" t="n">
        <v>0.25</v>
      </c>
      <c r="X3" s="6" t="n">
        <v>0.25</v>
      </c>
      <c r="Y3" s="5" t="n">
        <v>0.5</v>
      </c>
      <c r="Z3" s="5" t="n">
        <v>0.5</v>
      </c>
      <c r="AA3" s="4" t="n">
        <v>1</v>
      </c>
      <c r="AB3" s="4" t="n">
        <v>1</v>
      </c>
      <c r="AC3" s="5" t="n">
        <v>0.5</v>
      </c>
      <c r="AD3" s="6" t="n">
        <v>0</v>
      </c>
      <c r="AE3" s="6" t="n">
        <v>0</v>
      </c>
      <c r="AF3" s="6" t="n">
        <v>0</v>
      </c>
      <c r="AG3" s="4" t="n">
        <v>1</v>
      </c>
      <c r="AH3" s="6" t="n">
        <v>0</v>
      </c>
      <c r="AI3" s="6" t="n">
        <v>0.25</v>
      </c>
      <c r="AJ3" s="6" t="n">
        <v>0</v>
      </c>
      <c r="AK3" s="6" t="n">
        <v>0.25</v>
      </c>
      <c r="AL3" s="4" t="n">
        <v>0.75</v>
      </c>
      <c r="AM3" s="4" t="n">
        <v>0.75</v>
      </c>
      <c r="AN3" s="6" t="n">
        <v>0</v>
      </c>
      <c r="AO3" s="2" t="inlineStr"/>
      <c r="AP3" s="6" t="n">
        <v>0.25</v>
      </c>
    </row>
    <row r="4">
      <c r="A4" s="2" t="inlineStr">
        <is>
          <t>IOC</t>
        </is>
      </c>
      <c r="B4" s="2" t="inlineStr">
        <is>
          <t xml:space="preserve">Indian Oil Corporation
</t>
        </is>
      </c>
      <c r="C4" s="3" t="n">
        <v>23.53162465856491</v>
      </c>
      <c r="D4" s="3" t="n">
        <v>23.93519910139379</v>
      </c>
      <c r="E4" s="3" t="n">
        <v>5.559462717942377</v>
      </c>
      <c r="F4" s="3" t="n">
        <v>9.743776019125345</v>
      </c>
      <c r="G4" s="3" t="n">
        <v>0.7230954600718581</v>
      </c>
      <c r="H4" s="3" t="n">
        <v>10.28232457809923</v>
      </c>
      <c r="I4" s="3" t="n">
        <v>1.608409660170339</v>
      </c>
      <c r="J4" s="3" t="n">
        <v>39635</v>
      </c>
      <c r="K4" s="3" t="n">
        <v>71099</v>
      </c>
      <c r="L4" s="3" t="n">
        <v>20.09908996673164</v>
      </c>
      <c r="M4" s="3" t="n">
        <v>8.008755667240486</v>
      </c>
      <c r="N4" s="3" t="n">
        <v>20.11244339814313</v>
      </c>
      <c r="O4" s="3" t="n">
        <v>10909</v>
      </c>
      <c r="P4" s="3" t="n">
        <v>761485</v>
      </c>
      <c r="Q4" s="3" t="n">
        <v>28.61</v>
      </c>
      <c r="R4" s="3" t="n">
        <v>4.24</v>
      </c>
      <c r="S4" s="3" t="n">
        <v>33.71</v>
      </c>
      <c r="T4" s="3" t="n">
        <v>1.25</v>
      </c>
      <c r="U4" s="2" t="inlineStr"/>
      <c r="V4" s="3" t="n">
        <v>61.84084685554442</v>
      </c>
      <c r="W4" s="4" t="n">
        <v>0.75</v>
      </c>
      <c r="X4" s="4" t="n">
        <v>0.75</v>
      </c>
      <c r="Y4" s="6" t="n">
        <v>0</v>
      </c>
      <c r="Z4" s="6" t="n">
        <v>0</v>
      </c>
      <c r="AA4" s="6" t="n">
        <v>0</v>
      </c>
      <c r="AB4" s="6" t="n">
        <v>0.25</v>
      </c>
      <c r="AC4" s="4" t="n">
        <v>0.75</v>
      </c>
      <c r="AD4" s="5" t="n">
        <v>0.5</v>
      </c>
      <c r="AE4" s="5" t="n">
        <v>0.5</v>
      </c>
      <c r="AF4" s="4" t="n">
        <v>0.75</v>
      </c>
      <c r="AG4" s="6" t="n">
        <v>0.25</v>
      </c>
      <c r="AH4" s="4" t="n">
        <v>0.75</v>
      </c>
      <c r="AI4" s="6" t="n">
        <v>0</v>
      </c>
      <c r="AJ4" s="4" t="n">
        <v>0.75</v>
      </c>
      <c r="AK4" s="5" t="n">
        <v>0.5</v>
      </c>
      <c r="AL4" s="5" t="n">
        <v>0.5</v>
      </c>
      <c r="AM4" s="4" t="n">
        <v>1</v>
      </c>
      <c r="AN4" s="4" t="n">
        <v>0.75</v>
      </c>
      <c r="AO4" s="2" t="inlineStr"/>
      <c r="AP4" s="4" t="n">
        <v>0.75</v>
      </c>
    </row>
    <row r="5">
      <c r="A5" s="2" t="inlineStr">
        <is>
          <t>ONGC</t>
        </is>
      </c>
      <c r="B5" s="2" t="inlineStr">
        <is>
          <t>Oil &amp; Natural Gas Corpn Ltd</t>
        </is>
      </c>
      <c r="C5" s="3" t="n">
        <v>16.94039813688551</v>
      </c>
      <c r="D5" s="3" t="n">
        <v>20.9759898500972</v>
      </c>
      <c r="E5" s="3" t="n">
        <v>9.655290194725701</v>
      </c>
      <c r="F5" s="3" t="n">
        <v>17.38851801500179</v>
      </c>
      <c r="G5" s="3" t="n">
        <v>0.4544486308481918</v>
      </c>
      <c r="H5" s="3" t="n">
        <v>11.361290955464</v>
      </c>
      <c r="I5" s="3" t="n">
        <v>0.8332173339682772</v>
      </c>
      <c r="J5" s="3" t="n">
        <v>42060</v>
      </c>
      <c r="K5" s="3" t="n">
        <v>99263</v>
      </c>
      <c r="L5" s="3" t="n">
        <v>10.96639922553624</v>
      </c>
      <c r="M5" s="3" t="n">
        <v>7.001683761214439</v>
      </c>
      <c r="N5" s="3" t="n">
        <v>10.19722877214802</v>
      </c>
      <c r="O5" s="3" t="n">
        <v>42320</v>
      </c>
      <c r="P5" s="3" t="n">
        <v>658694</v>
      </c>
      <c r="Q5" s="3" t="n">
        <v>18.15</v>
      </c>
      <c r="R5" s="3" t="n">
        <v>10.36</v>
      </c>
      <c r="S5" s="3" t="n">
        <v>11.72</v>
      </c>
      <c r="T5" s="3" t="n">
        <v>1.11</v>
      </c>
      <c r="U5" s="2" t="inlineStr"/>
      <c r="V5" s="3" t="n">
        <v>60.58045353849101</v>
      </c>
      <c r="W5" s="5" t="n">
        <v>0.5</v>
      </c>
      <c r="X5" s="5" t="n">
        <v>0.5</v>
      </c>
      <c r="Y5" s="4" t="n">
        <v>1</v>
      </c>
      <c r="Z5" s="4" t="n">
        <v>0.75</v>
      </c>
      <c r="AA5" s="4" t="n">
        <v>0.75</v>
      </c>
      <c r="AB5" s="4" t="n">
        <v>0.75</v>
      </c>
      <c r="AC5" s="6" t="n">
        <v>0.25</v>
      </c>
      <c r="AD5" s="4" t="n">
        <v>0.75</v>
      </c>
      <c r="AE5" s="4" t="n">
        <v>0.75</v>
      </c>
      <c r="AF5" s="6" t="n">
        <v>0.25</v>
      </c>
      <c r="AG5" s="6" t="n">
        <v>0</v>
      </c>
      <c r="AH5" s="6" t="n">
        <v>0.25</v>
      </c>
      <c r="AI5" s="4" t="n">
        <v>0.75</v>
      </c>
      <c r="AJ5" s="5" t="n">
        <v>0.5</v>
      </c>
      <c r="AK5" s="6" t="n">
        <v>0</v>
      </c>
      <c r="AL5" s="4" t="n">
        <v>1</v>
      </c>
      <c r="AM5" s="6" t="n">
        <v>0</v>
      </c>
      <c r="AN5" s="6" t="n">
        <v>0.25</v>
      </c>
      <c r="AO5" s="2" t="inlineStr"/>
      <c r="AP5" s="5" t="n">
        <v>0.5</v>
      </c>
    </row>
    <row r="6">
      <c r="A6" s="7" t="inlineStr">
        <is>
          <t>RELIANCE</t>
        </is>
      </c>
      <c r="B6" s="7" t="inlineStr">
        <is>
          <t xml:space="preserve">Reliance Industries Ltd
</t>
        </is>
      </c>
      <c r="C6" s="8" t="n">
        <v>9.958650553699458</v>
      </c>
      <c r="D6" s="8" t="n">
        <v>12.97418225716822</v>
      </c>
      <c r="E6" s="8" t="n">
        <v>8.789365557299389</v>
      </c>
      <c r="F6" s="8" t="n">
        <v>18.07459281612296</v>
      </c>
      <c r="G6" s="8" t="n">
        <v>0.5784524141094746</v>
      </c>
      <c r="H6" s="8" t="n">
        <v>7.728912535686478</v>
      </c>
      <c r="I6" s="8" t="n">
        <v>0.5122600635424216</v>
      </c>
      <c r="J6" s="8" t="n">
        <v>45207</v>
      </c>
      <c r="K6" s="8" t="n">
        <v>158788</v>
      </c>
      <c r="L6" s="8" t="n">
        <v>14.68063260349559</v>
      </c>
      <c r="M6" s="8" t="n">
        <v>9.606097094616972</v>
      </c>
      <c r="N6" s="8" t="n">
        <v>11.95266483252204</v>
      </c>
      <c r="O6" s="8" t="n">
        <v>79941</v>
      </c>
      <c r="P6" s="8" t="n">
        <v>939838</v>
      </c>
      <c r="Q6" s="8" t="n">
        <v>58.34</v>
      </c>
      <c r="R6" s="8" t="n">
        <v>3.25</v>
      </c>
      <c r="S6" s="8" t="n">
        <v>24.96</v>
      </c>
      <c r="T6" s="8" t="n">
        <v>4.21</v>
      </c>
      <c r="U6" s="7" t="inlineStr"/>
      <c r="V6" s="8" t="n">
        <v>56.58893248063931</v>
      </c>
      <c r="W6" s="6" t="n">
        <v>0</v>
      </c>
      <c r="X6" s="6" t="n">
        <v>0</v>
      </c>
      <c r="Y6" s="4" t="n">
        <v>0.75</v>
      </c>
      <c r="Z6" s="4" t="n">
        <v>1</v>
      </c>
      <c r="AA6" s="5" t="n">
        <v>0.5</v>
      </c>
      <c r="AB6" s="6" t="n">
        <v>0</v>
      </c>
      <c r="AC6" s="6" t="n">
        <v>0</v>
      </c>
      <c r="AD6" s="4" t="n">
        <v>1</v>
      </c>
      <c r="AE6" s="4" t="n">
        <v>1</v>
      </c>
      <c r="AF6" s="5" t="n">
        <v>0.5</v>
      </c>
      <c r="AG6" s="4" t="n">
        <v>0.75</v>
      </c>
      <c r="AH6" s="5" t="n">
        <v>0.5</v>
      </c>
      <c r="AI6" s="4" t="n">
        <v>1</v>
      </c>
      <c r="AJ6" s="4" t="n">
        <v>1</v>
      </c>
      <c r="AK6" s="4" t="n">
        <v>0.75</v>
      </c>
      <c r="AL6" s="6" t="n">
        <v>0.25</v>
      </c>
      <c r="AM6" s="6" t="n">
        <v>0.25</v>
      </c>
      <c r="AN6" s="4" t="n">
        <v>1</v>
      </c>
      <c r="AO6" s="2" t="inlineStr"/>
      <c r="AP6" s="6" t="n">
        <v>0</v>
      </c>
    </row>
    <row r="7">
      <c r="A7" s="9" t="inlineStr">
        <is>
          <t>Peer Median</t>
        </is>
      </c>
      <c r="B7" s="9" t="inlineStr">
        <is>
          <t>Peer Group Median</t>
        </is>
      </c>
      <c r="C7" s="9">
        <f>MEDIAN(C2:C6)</f>
        <v/>
      </c>
      <c r="D7" s="9">
        <f>MEDIAN(D2:D6)</f>
        <v/>
      </c>
      <c r="E7" s="9">
        <f>MEDIAN(E2:E6)</f>
        <v/>
      </c>
      <c r="F7" s="9">
        <f>MEDIAN(F2:F6)</f>
        <v/>
      </c>
      <c r="G7" s="9">
        <f>MEDIAN(G2:G6)</f>
        <v/>
      </c>
      <c r="H7" s="9">
        <f>MEDIAN(H2:H6)</f>
        <v/>
      </c>
      <c r="I7" s="9">
        <f>MEDIAN(I2:I6)</f>
        <v/>
      </c>
      <c r="J7" s="9">
        <f>MEDIAN(J2:J6)</f>
        <v/>
      </c>
      <c r="K7" s="9">
        <f>MEDIAN(K2:K6)</f>
        <v/>
      </c>
      <c r="L7" s="9">
        <f>MEDIAN(L2:L6)</f>
        <v/>
      </c>
      <c r="M7" s="9">
        <f>MEDIAN(M2:M6)</f>
        <v/>
      </c>
      <c r="N7" s="9">
        <f>MEDIAN(N2:N6)</f>
        <v/>
      </c>
      <c r="O7" s="9">
        <f>MEDIAN(O2:O6)</f>
        <v/>
      </c>
      <c r="P7" s="9">
        <f>MEDIAN(P2:P6)</f>
        <v/>
      </c>
      <c r="Q7" s="9">
        <f>MEDIAN(Q2:Q6)</f>
        <v/>
      </c>
      <c r="R7" s="9">
        <f>MEDIAN(R2:R6)</f>
        <v/>
      </c>
      <c r="S7" s="9">
        <f>MEDIAN(S2:S6)</f>
        <v/>
      </c>
      <c r="T7" s="9">
        <f>MEDIAN(T2:T6)</f>
        <v/>
      </c>
      <c r="U7" s="9">
        <f>MEDIAN(U2:U6)</f>
        <v/>
      </c>
      <c r="V7" s="9">
        <f>MEDIAN(V2:V6)</f>
        <v/>
      </c>
      <c r="W7" s="9">
        <f>MEDIAN(W2:W6)</f>
        <v/>
      </c>
      <c r="X7" s="9">
        <f>MEDIAN(X2:X6)</f>
        <v/>
      </c>
      <c r="Y7" s="9">
        <f>MEDIAN(Y2:Y6)</f>
        <v/>
      </c>
      <c r="Z7" s="9">
        <f>MEDIAN(Z2:Z6)</f>
        <v/>
      </c>
      <c r="AA7" s="9">
        <f>MEDIAN(AA2:AA6)</f>
        <v/>
      </c>
      <c r="AB7" s="9">
        <f>MEDIAN(AB2:AB6)</f>
        <v/>
      </c>
      <c r="AC7" s="9">
        <f>MEDIAN(AC2:AC6)</f>
        <v/>
      </c>
      <c r="AD7" s="9">
        <f>MEDIAN(AD2:AD6)</f>
        <v/>
      </c>
      <c r="AE7" s="9">
        <f>MEDIAN(AE2:AE6)</f>
        <v/>
      </c>
      <c r="AF7" s="9">
        <f>MEDIAN(AF2:AF6)</f>
        <v/>
      </c>
      <c r="AG7" s="9">
        <f>MEDIAN(AG2:AG6)</f>
        <v/>
      </c>
      <c r="AH7" s="9">
        <f>MEDIAN(AH2:AH6)</f>
        <v/>
      </c>
      <c r="AI7" s="9">
        <f>MEDIAN(AI2:AI6)</f>
        <v/>
      </c>
      <c r="AJ7" s="9">
        <f>MEDIAN(AJ2:AJ6)</f>
        <v/>
      </c>
      <c r="AK7" s="9">
        <f>MEDIAN(AK2:AK6)</f>
        <v/>
      </c>
      <c r="AL7" s="9">
        <f>MEDIAN(AL2:AL6)</f>
        <v/>
      </c>
      <c r="AM7" s="9">
        <f>MEDIAN(AM2:AM6)</f>
        <v/>
      </c>
      <c r="AN7" s="9">
        <f>MEDIAN(AN2:AN6)</f>
        <v/>
      </c>
      <c r="AO7" s="9">
        <f>MEDIAN(AO2:AO6)</f>
        <v/>
      </c>
      <c r="AP7" s="9">
        <f>MEDIAN(AP2:AP6)</f>
        <v/>
      </c>
    </row>
  </sheetData>
  <autoFilter ref="A1:AP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Operating Profit Margin</t>
        </is>
      </c>
      <c r="G1" s="1" t="inlineStr">
        <is>
          <t>D/E</t>
        </is>
      </c>
      <c r="H1" s="1" t="inlineStr">
        <is>
          <t>Interest Coverage</t>
        </is>
      </c>
      <c r="I1" s="1" t="inlineStr">
        <is>
          <t>Asset Turnover</t>
        </is>
      </c>
      <c r="J1" s="1" t="inlineStr">
        <is>
          <t>Free Cash Flow</t>
        </is>
      </c>
      <c r="K1" s="1" t="inlineStr">
        <is>
          <t>Cash From Operations</t>
        </is>
      </c>
      <c r="L1" s="1" t="inlineStr">
        <is>
          <t>PAT CAGR 5yr</t>
        </is>
      </c>
      <c r="M1" s="1" t="inlineStr">
        <is>
          <t>Revenue CAGR 5yr</t>
        </is>
      </c>
      <c r="N1" s="1" t="inlineStr">
        <is>
          <t>EPS CAGR 5yr</t>
        </is>
      </c>
      <c r="O1" s="1" t="inlineStr">
        <is>
          <t>Net Profit</t>
        </is>
      </c>
      <c r="P1" s="1" t="inlineStr">
        <is>
          <t>Sales</t>
        </is>
      </c>
      <c r="Q1" s="1" t="inlineStr">
        <is>
          <t>P/E</t>
        </is>
      </c>
      <c r="R1" s="1" t="inlineStr">
        <is>
          <t>P/B</t>
        </is>
      </c>
      <c r="S1" s="1" t="inlineStr">
        <is>
          <t>EV/EBITDA</t>
        </is>
      </c>
      <c r="T1" s="1" t="inlineStr">
        <is>
          <t>Dividend Yield</t>
        </is>
      </c>
      <c r="U1" s="1" t="inlineStr">
        <is>
          <t>Dividend Payout</t>
        </is>
      </c>
      <c r="V1" s="1" t="inlineStr">
        <is>
          <t>Composite Score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Operating Profit Margin Percentile</t>
        </is>
      </c>
      <c r="AA1" s="1" t="inlineStr">
        <is>
          <t>D/E Percentile</t>
        </is>
      </c>
      <c r="AB1" s="1" t="inlineStr">
        <is>
          <t>Interest Coverage Percentile</t>
        </is>
      </c>
      <c r="AC1" s="1" t="inlineStr">
        <is>
          <t>Asset Turnover Percentile</t>
        </is>
      </c>
      <c r="AD1" s="1" t="inlineStr">
        <is>
          <t>Free Cash Flow Percentile</t>
        </is>
      </c>
      <c r="AE1" s="1" t="inlineStr">
        <is>
          <t>Cash From Operations Percentile</t>
        </is>
      </c>
      <c r="AF1" s="1" t="inlineStr">
        <is>
          <t>PAT CAGR 5yr Percentile</t>
        </is>
      </c>
      <c r="AG1" s="1" t="inlineStr">
        <is>
          <t>Revenue CAGR 5yr Percentile</t>
        </is>
      </c>
      <c r="AH1" s="1" t="inlineStr">
        <is>
          <t>EPS CAGR 5yr Percentile</t>
        </is>
      </c>
      <c r="AI1" s="1" t="inlineStr">
        <is>
          <t>Net Profit Percentile</t>
        </is>
      </c>
      <c r="AJ1" s="1" t="inlineStr">
        <is>
          <t>Sales Percentile</t>
        </is>
      </c>
      <c r="AK1" s="1" t="inlineStr">
        <is>
          <t>P/E Percentile</t>
        </is>
      </c>
      <c r="AL1" s="1" t="inlineStr">
        <is>
          <t>P/B Percentile</t>
        </is>
      </c>
      <c r="AM1" s="1" t="inlineStr">
        <is>
          <t>EV/EBITDA Percentile</t>
        </is>
      </c>
      <c r="AN1" s="1" t="inlineStr">
        <is>
          <t>Dividend Yield Percentile</t>
        </is>
      </c>
      <c r="AO1" s="1" t="inlineStr">
        <is>
          <t>Dividend Payout Percentile</t>
        </is>
      </c>
      <c r="AP1" s="1" t="inlineStr">
        <is>
          <t>Composite Score Percentile</t>
        </is>
      </c>
    </row>
    <row r="2">
      <c r="A2" s="2" t="inlineStr">
        <is>
          <t>CIPLA</t>
        </is>
      </c>
      <c r="B2" s="2" t="inlineStr">
        <is>
          <t xml:space="preserve">Cipla Ltd
</t>
        </is>
      </c>
      <c r="C2" s="3" t="n">
        <v>15.55455702838313</v>
      </c>
      <c r="D2" s="3" t="n">
        <v>71.45791307537137</v>
      </c>
      <c r="E2" s="3" t="n">
        <v>16.11701714906495</v>
      </c>
      <c r="F2" s="3" t="n">
        <v>75.59168153953597</v>
      </c>
      <c r="G2" s="3" t="n">
        <v>0.02093162585186849</v>
      </c>
      <c r="H2" s="3" t="n">
        <v>35.33876811594203</v>
      </c>
      <c r="I2" s="3" t="n">
        <v>0.7922417237881536</v>
      </c>
      <c r="J2" s="3" t="n">
        <v>1152</v>
      </c>
      <c r="K2" s="3" t="n">
        <v>4134</v>
      </c>
      <c r="L2" s="3" t="n">
        <v>22.72683484800089</v>
      </c>
      <c r="M2" s="3" t="n">
        <v>9.513860126378049</v>
      </c>
      <c r="N2" s="3" t="n">
        <v>21.83254460856599</v>
      </c>
      <c r="O2" s="3" t="n">
        <v>4987</v>
      </c>
      <c r="P2" s="3" t="n">
        <v>26981</v>
      </c>
      <c r="Q2" s="3" t="n">
        <v>59.75</v>
      </c>
      <c r="R2" s="3" t="n">
        <v>5.93</v>
      </c>
      <c r="S2" s="3" t="n">
        <v>33.7</v>
      </c>
      <c r="T2" s="3" t="n">
        <v>0.12</v>
      </c>
      <c r="U2" s="2" t="inlineStr"/>
      <c r="V2" s="3" t="n">
        <v>67.37322969914328</v>
      </c>
      <c r="W2" s="5" t="n">
        <v>0.5</v>
      </c>
      <c r="X2" s="4" t="n">
        <v>1</v>
      </c>
      <c r="Y2" s="6" t="n">
        <v>0.25</v>
      </c>
      <c r="Z2" s="4" t="n">
        <v>1</v>
      </c>
      <c r="AA2" s="4" t="n">
        <v>0.75</v>
      </c>
      <c r="AB2" s="6" t="n">
        <v>0.25</v>
      </c>
      <c r="AC2" s="4" t="n">
        <v>1</v>
      </c>
      <c r="AD2" s="5" t="n">
        <v>0.5</v>
      </c>
      <c r="AE2" s="5" t="n">
        <v>0.5</v>
      </c>
      <c r="AF2" s="6" t="n">
        <v>0.25</v>
      </c>
      <c r="AG2" s="6" t="n">
        <v>0.25</v>
      </c>
      <c r="AH2" s="6" t="n">
        <v>0.25</v>
      </c>
      <c r="AI2" s="5" t="n">
        <v>0.5</v>
      </c>
      <c r="AJ2" s="5" t="n">
        <v>0.5</v>
      </c>
      <c r="AK2" s="4" t="n">
        <v>0.75</v>
      </c>
      <c r="AL2" s="6" t="n">
        <v>0</v>
      </c>
      <c r="AM2" s="4" t="n">
        <v>1</v>
      </c>
      <c r="AN2" s="6" t="n">
        <v>0.25</v>
      </c>
      <c r="AO2" s="2" t="inlineStr"/>
      <c r="AP2" s="6" t="n">
        <v>0</v>
      </c>
    </row>
    <row r="3">
      <c r="A3" s="2" t="inlineStr">
        <is>
          <t>DIVISLAB</t>
        </is>
      </c>
      <c r="B3" s="2" t="inlineStr">
        <is>
          <t>Divis Laboratories Ltd</t>
        </is>
      </c>
      <c r="C3" s="3" t="n">
        <v>11.78984599513669</v>
      </c>
      <c r="D3" s="3" t="n">
        <v>16.28112568144983</v>
      </c>
      <c r="E3" s="3" t="n">
        <v>20.39515615041428</v>
      </c>
      <c r="F3" s="3" t="n">
        <v>28.17080943275972</v>
      </c>
      <c r="G3" s="3" t="n">
        <v>0.0002210596124088129</v>
      </c>
      <c r="H3" s="3" t="n">
        <v>636.25</v>
      </c>
      <c r="I3" s="3" t="n">
        <v>0.5074385510996119</v>
      </c>
      <c r="J3" s="3" t="n">
        <v>992</v>
      </c>
      <c r="K3" s="3" t="n">
        <v>1261</v>
      </c>
      <c r="L3" s="3" t="n">
        <v>3.410452192508084</v>
      </c>
      <c r="M3" s="3" t="n">
        <v>9.664930361854074</v>
      </c>
      <c r="N3" s="3" t="n">
        <v>3.303780411393231</v>
      </c>
      <c r="O3" s="3" t="n">
        <v>1836</v>
      </c>
      <c r="P3" s="3" t="n">
        <v>8614</v>
      </c>
      <c r="Q3" s="3" t="n">
        <v>69.95</v>
      </c>
      <c r="R3" s="3" t="n">
        <v>12.34</v>
      </c>
      <c r="S3" s="3" t="n">
        <v>31.81</v>
      </c>
      <c r="T3" s="3" t="n">
        <v>1.39</v>
      </c>
      <c r="U3" s="2" t="inlineStr"/>
      <c r="V3" s="3" t="n">
        <v>67.89907076648706</v>
      </c>
      <c r="W3" s="6" t="n">
        <v>0</v>
      </c>
      <c r="X3" s="6" t="n">
        <v>0</v>
      </c>
      <c r="Y3" s="4" t="n">
        <v>1</v>
      </c>
      <c r="Z3" s="6" t="n">
        <v>0.25</v>
      </c>
      <c r="AA3" s="4" t="n">
        <v>1</v>
      </c>
      <c r="AB3" s="4" t="n">
        <v>1</v>
      </c>
      <c r="AC3" s="6" t="n">
        <v>0</v>
      </c>
      <c r="AD3" s="6" t="n">
        <v>0.25</v>
      </c>
      <c r="AE3" s="6" t="n">
        <v>0</v>
      </c>
      <c r="AF3" s="6" t="n">
        <v>0</v>
      </c>
      <c r="AG3" s="5" t="n">
        <v>0.5</v>
      </c>
      <c r="AH3" s="6" t="n">
        <v>0</v>
      </c>
      <c r="AI3" s="6" t="n">
        <v>0</v>
      </c>
      <c r="AJ3" s="6" t="n">
        <v>0</v>
      </c>
      <c r="AK3" s="4" t="n">
        <v>1</v>
      </c>
      <c r="AL3" s="4" t="n">
        <v>1</v>
      </c>
      <c r="AM3" s="4" t="n">
        <v>0.75</v>
      </c>
      <c r="AN3" s="4" t="n">
        <v>0.75</v>
      </c>
      <c r="AO3" s="2" t="inlineStr"/>
      <c r="AP3" s="6" t="n">
        <v>0.25</v>
      </c>
    </row>
    <row r="4">
      <c r="A4" s="2" t="inlineStr">
        <is>
          <t>DRREDDY</t>
        </is>
      </c>
      <c r="B4" s="2" t="inlineStr">
        <is>
          <t>Dr Reddys Laboratories Ltd</t>
        </is>
      </c>
      <c r="C4" s="3" t="n">
        <v>19.74233736816026</v>
      </c>
      <c r="D4" s="3" t="n">
        <v>26.21959280803807</v>
      </c>
      <c r="E4" s="3" t="n">
        <v>19.9136053693192</v>
      </c>
      <c r="F4" s="3" t="n">
        <v>28.32101674342223</v>
      </c>
      <c r="G4" s="3" t="n">
        <v>0.07085722375592836</v>
      </c>
      <c r="H4" s="3" t="n">
        <v>51.70760233918129</v>
      </c>
      <c r="I4" s="3" t="n">
        <v>0.7223053120165034</v>
      </c>
      <c r="J4" s="3" t="n">
        <v>509</v>
      </c>
      <c r="K4" s="3" t="n">
        <v>4543</v>
      </c>
      <c r="L4" s="3" t="n">
        <v>23.39250464543747</v>
      </c>
      <c r="M4" s="3" t="n">
        <v>12.63964434957199</v>
      </c>
      <c r="N4" s="3" t="n">
        <v>23.84240955838754</v>
      </c>
      <c r="O4" s="3" t="n">
        <v>5448</v>
      </c>
      <c r="P4" s="3" t="n">
        <v>31229</v>
      </c>
      <c r="Q4" s="3" t="n">
        <v>11.73</v>
      </c>
      <c r="R4" s="3" t="n">
        <v>10.19</v>
      </c>
      <c r="S4" s="3" t="n">
        <v>14.56</v>
      </c>
      <c r="T4" s="3" t="n">
        <v>0.09</v>
      </c>
      <c r="U4" s="2" t="inlineStr"/>
      <c r="V4" s="3" t="n">
        <v>74.58029582967725</v>
      </c>
      <c r="W4" s="4" t="n">
        <v>0.75</v>
      </c>
      <c r="X4" s="5" t="n">
        <v>0.5</v>
      </c>
      <c r="Y4" s="4" t="n">
        <v>0.75</v>
      </c>
      <c r="Z4" s="5" t="n">
        <v>0.5</v>
      </c>
      <c r="AA4" s="6" t="n">
        <v>0.25</v>
      </c>
      <c r="AB4" s="5" t="n">
        <v>0.5</v>
      </c>
      <c r="AC4" s="5" t="n">
        <v>0.5</v>
      </c>
      <c r="AD4" s="6" t="n">
        <v>0</v>
      </c>
      <c r="AE4" s="4" t="n">
        <v>0.75</v>
      </c>
      <c r="AF4" s="5" t="n">
        <v>0.5</v>
      </c>
      <c r="AG4" s="4" t="n">
        <v>1</v>
      </c>
      <c r="AH4" s="5" t="n">
        <v>0.5</v>
      </c>
      <c r="AI4" s="4" t="n">
        <v>0.75</v>
      </c>
      <c r="AJ4" s="4" t="n">
        <v>0.75</v>
      </c>
      <c r="AK4" s="6" t="n">
        <v>0</v>
      </c>
      <c r="AL4" s="4" t="n">
        <v>0.75</v>
      </c>
      <c r="AM4" s="6" t="n">
        <v>0</v>
      </c>
      <c r="AN4" s="6" t="n">
        <v>0</v>
      </c>
      <c r="AO4" s="2" t="inlineStr"/>
      <c r="AP4" s="4" t="n">
        <v>1</v>
      </c>
    </row>
    <row r="5">
      <c r="A5" s="7" t="inlineStr">
        <is>
          <t>SUNPHARMA</t>
        </is>
      </c>
      <c r="B5" s="7" t="inlineStr">
        <is>
          <t>Sun Pharmaceuticals Industries Ltd</t>
        </is>
      </c>
      <c r="C5" s="8" t="n">
        <v>15.09416181067115</v>
      </c>
      <c r="D5" s="8" t="n">
        <v>19.44697569501501</v>
      </c>
      <c r="E5" s="8" t="n">
        <v>19.81565870053818</v>
      </c>
      <c r="F5" s="8" t="n">
        <v>26.84289749881436</v>
      </c>
      <c r="G5" s="8" t="n">
        <v>0.05142381453500244</v>
      </c>
      <c r="H5" s="8" t="n">
        <v>58.33193277310924</v>
      </c>
      <c r="I5" s="8" t="n">
        <v>0.5684929901064378</v>
      </c>
      <c r="J5" s="8" t="n">
        <v>11372</v>
      </c>
      <c r="K5" s="8" t="n">
        <v>12135</v>
      </c>
      <c r="L5" s="8" t="n">
        <v>24.53682964293125</v>
      </c>
      <c r="M5" s="8" t="n">
        <v>10.78116321985565</v>
      </c>
      <c r="N5" s="8" t="n">
        <v>29.45936165164078</v>
      </c>
      <c r="O5" s="8" t="n">
        <v>11117</v>
      </c>
      <c r="P5" s="8" t="n">
        <v>50308</v>
      </c>
      <c r="Q5" s="8" t="n">
        <v>37.9</v>
      </c>
      <c r="R5" s="8" t="n">
        <v>6.71</v>
      </c>
      <c r="S5" s="8" t="n">
        <v>21.41</v>
      </c>
      <c r="T5" s="8" t="n">
        <v>3.88</v>
      </c>
      <c r="U5" s="7" t="inlineStr"/>
      <c r="V5" s="8" t="n">
        <v>70.25496056256998</v>
      </c>
      <c r="W5" s="6" t="n">
        <v>0.25</v>
      </c>
      <c r="X5" s="6" t="n">
        <v>0.25</v>
      </c>
      <c r="Y5" s="5" t="n">
        <v>0.5</v>
      </c>
      <c r="Z5" s="6" t="n">
        <v>0</v>
      </c>
      <c r="AA5" s="5" t="n">
        <v>0.5</v>
      </c>
      <c r="AB5" s="4" t="n">
        <v>0.75</v>
      </c>
      <c r="AC5" s="6" t="n">
        <v>0.25</v>
      </c>
      <c r="AD5" s="4" t="n">
        <v>1</v>
      </c>
      <c r="AE5" s="4" t="n">
        <v>1</v>
      </c>
      <c r="AF5" s="4" t="n">
        <v>0.75</v>
      </c>
      <c r="AG5" s="4" t="n">
        <v>0.75</v>
      </c>
      <c r="AH5" s="4" t="n">
        <v>0.75</v>
      </c>
      <c r="AI5" s="4" t="n">
        <v>1</v>
      </c>
      <c r="AJ5" s="4" t="n">
        <v>1</v>
      </c>
      <c r="AK5" s="6" t="n">
        <v>0.25</v>
      </c>
      <c r="AL5" s="5" t="n">
        <v>0.5</v>
      </c>
      <c r="AM5" s="6" t="n">
        <v>0.25</v>
      </c>
      <c r="AN5" s="4" t="n">
        <v>1</v>
      </c>
      <c r="AO5" s="2" t="inlineStr"/>
      <c r="AP5" s="4" t="n">
        <v>0.75</v>
      </c>
    </row>
    <row r="6">
      <c r="A6" s="2" t="inlineStr">
        <is>
          <t>TORNTPHARM</t>
        </is>
      </c>
      <c r="B6" s="2" t="inlineStr">
        <is>
          <t>Torrent Pharmaceuticals Ltd</t>
        </is>
      </c>
      <c r="C6" s="3" t="n">
        <v>24.15402567094516</v>
      </c>
      <c r="D6" s="3" t="n">
        <v>30.96157381871668</v>
      </c>
      <c r="E6" s="3" t="n">
        <v>15.43624161073826</v>
      </c>
      <c r="F6" s="3" t="n">
        <v>31.3944817300522</v>
      </c>
      <c r="G6" s="3" t="n">
        <v>0.5866394399066511</v>
      </c>
      <c r="H6" s="3" t="n">
        <v>9.926553672316384</v>
      </c>
      <c r="I6" s="3" t="n">
        <v>0.7396070320579111</v>
      </c>
      <c r="J6" s="3" t="n">
        <v>3106</v>
      </c>
      <c r="K6" s="3" t="n">
        <v>3266</v>
      </c>
      <c r="L6" s="3" t="n">
        <v>30.59145740232785</v>
      </c>
      <c r="M6" s="3" t="n">
        <v>6.932744476678732</v>
      </c>
      <c r="N6" s="3" t="n">
        <v>30.39187954400138</v>
      </c>
      <c r="O6" s="3" t="n">
        <v>1862</v>
      </c>
      <c r="P6" s="3" t="n">
        <v>11302</v>
      </c>
      <c r="Q6" s="3" t="n">
        <v>46.4</v>
      </c>
      <c r="R6" s="3" t="n">
        <v>6.43</v>
      </c>
      <c r="S6" s="3" t="n">
        <v>27.93</v>
      </c>
      <c r="T6" s="3" t="n">
        <v>1.22</v>
      </c>
      <c r="U6" s="2" t="inlineStr"/>
      <c r="V6" s="3" t="n">
        <v>68.66878341261483</v>
      </c>
      <c r="W6" s="4" t="n">
        <v>1</v>
      </c>
      <c r="X6" s="4" t="n">
        <v>0.75</v>
      </c>
      <c r="Y6" s="6" t="n">
        <v>0</v>
      </c>
      <c r="Z6" s="4" t="n">
        <v>0.75</v>
      </c>
      <c r="AA6" s="6" t="n">
        <v>0</v>
      </c>
      <c r="AB6" s="6" t="n">
        <v>0</v>
      </c>
      <c r="AC6" s="4" t="n">
        <v>0.75</v>
      </c>
      <c r="AD6" s="4" t="n">
        <v>0.75</v>
      </c>
      <c r="AE6" s="6" t="n">
        <v>0.25</v>
      </c>
      <c r="AF6" s="4" t="n">
        <v>1</v>
      </c>
      <c r="AG6" s="6" t="n">
        <v>0</v>
      </c>
      <c r="AH6" s="4" t="n">
        <v>1</v>
      </c>
      <c r="AI6" s="6" t="n">
        <v>0.25</v>
      </c>
      <c r="AJ6" s="6" t="n">
        <v>0.25</v>
      </c>
      <c r="AK6" s="5" t="n">
        <v>0.5</v>
      </c>
      <c r="AL6" s="6" t="n">
        <v>0.25</v>
      </c>
      <c r="AM6" s="5" t="n">
        <v>0.5</v>
      </c>
      <c r="AN6" s="5" t="n">
        <v>0.5</v>
      </c>
      <c r="AO6" s="2" t="inlineStr"/>
      <c r="AP6" s="5" t="n">
        <v>0.5</v>
      </c>
    </row>
    <row r="7">
      <c r="A7" s="9" t="inlineStr">
        <is>
          <t>Peer Median</t>
        </is>
      </c>
      <c r="B7" s="9" t="inlineStr">
        <is>
          <t>Peer Group Median</t>
        </is>
      </c>
      <c r="C7" s="9">
        <f>MEDIAN(C2:C6)</f>
        <v/>
      </c>
      <c r="D7" s="9">
        <f>MEDIAN(D2:D6)</f>
        <v/>
      </c>
      <c r="E7" s="9">
        <f>MEDIAN(E2:E6)</f>
        <v/>
      </c>
      <c r="F7" s="9">
        <f>MEDIAN(F2:F6)</f>
        <v/>
      </c>
      <c r="G7" s="9">
        <f>MEDIAN(G2:G6)</f>
        <v/>
      </c>
      <c r="H7" s="9">
        <f>MEDIAN(H2:H6)</f>
        <v/>
      </c>
      <c r="I7" s="9">
        <f>MEDIAN(I2:I6)</f>
        <v/>
      </c>
      <c r="J7" s="9">
        <f>MEDIAN(J2:J6)</f>
        <v/>
      </c>
      <c r="K7" s="9">
        <f>MEDIAN(K2:K6)</f>
        <v/>
      </c>
      <c r="L7" s="9">
        <f>MEDIAN(L2:L6)</f>
        <v/>
      </c>
      <c r="M7" s="9">
        <f>MEDIAN(M2:M6)</f>
        <v/>
      </c>
      <c r="N7" s="9">
        <f>MEDIAN(N2:N6)</f>
        <v/>
      </c>
      <c r="O7" s="9">
        <f>MEDIAN(O2:O6)</f>
        <v/>
      </c>
      <c r="P7" s="9">
        <f>MEDIAN(P2:P6)</f>
        <v/>
      </c>
      <c r="Q7" s="9">
        <f>MEDIAN(Q2:Q6)</f>
        <v/>
      </c>
      <c r="R7" s="9">
        <f>MEDIAN(R2:R6)</f>
        <v/>
      </c>
      <c r="S7" s="9">
        <f>MEDIAN(S2:S6)</f>
        <v/>
      </c>
      <c r="T7" s="9">
        <f>MEDIAN(T2:T6)</f>
        <v/>
      </c>
      <c r="U7" s="9">
        <f>MEDIAN(U2:U6)</f>
        <v/>
      </c>
      <c r="V7" s="9">
        <f>MEDIAN(V2:V6)</f>
        <v/>
      </c>
      <c r="W7" s="9">
        <f>MEDIAN(W2:W6)</f>
        <v/>
      </c>
      <c r="X7" s="9">
        <f>MEDIAN(X2:X6)</f>
        <v/>
      </c>
      <c r="Y7" s="9">
        <f>MEDIAN(Y2:Y6)</f>
        <v/>
      </c>
      <c r="Z7" s="9">
        <f>MEDIAN(Z2:Z6)</f>
        <v/>
      </c>
      <c r="AA7" s="9">
        <f>MEDIAN(AA2:AA6)</f>
        <v/>
      </c>
      <c r="AB7" s="9">
        <f>MEDIAN(AB2:AB6)</f>
        <v/>
      </c>
      <c r="AC7" s="9">
        <f>MEDIAN(AC2:AC6)</f>
        <v/>
      </c>
      <c r="AD7" s="9">
        <f>MEDIAN(AD2:AD6)</f>
        <v/>
      </c>
      <c r="AE7" s="9">
        <f>MEDIAN(AE2:AE6)</f>
        <v/>
      </c>
      <c r="AF7" s="9">
        <f>MEDIAN(AF2:AF6)</f>
        <v/>
      </c>
      <c r="AG7" s="9">
        <f>MEDIAN(AG2:AG6)</f>
        <v/>
      </c>
      <c r="AH7" s="9">
        <f>MEDIAN(AH2:AH6)</f>
        <v/>
      </c>
      <c r="AI7" s="9">
        <f>MEDIAN(AI2:AI6)</f>
        <v/>
      </c>
      <c r="AJ7" s="9">
        <f>MEDIAN(AJ2:AJ6)</f>
        <v/>
      </c>
      <c r="AK7" s="9">
        <f>MEDIAN(AK2:AK6)</f>
        <v/>
      </c>
      <c r="AL7" s="9">
        <f>MEDIAN(AL2:AL6)</f>
        <v/>
      </c>
      <c r="AM7" s="9">
        <f>MEDIAN(AM2:AM6)</f>
        <v/>
      </c>
      <c r="AN7" s="9">
        <f>MEDIAN(AN2:AN6)</f>
        <v/>
      </c>
      <c r="AO7" s="9">
        <f>MEDIAN(AO2:AO6)</f>
        <v/>
      </c>
      <c r="AP7" s="9">
        <f>MEDIAN(AP2:AP6)</f>
        <v/>
      </c>
    </row>
  </sheetData>
  <autoFilter ref="A1:AP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Operating Profit Margin</t>
        </is>
      </c>
      <c r="G1" s="1" t="inlineStr">
        <is>
          <t>D/E</t>
        </is>
      </c>
      <c r="H1" s="1" t="inlineStr">
        <is>
          <t>Interest Coverage</t>
        </is>
      </c>
      <c r="I1" s="1" t="inlineStr">
        <is>
          <t>Asset Turnover</t>
        </is>
      </c>
      <c r="J1" s="1" t="inlineStr">
        <is>
          <t>Free Cash Flow</t>
        </is>
      </c>
      <c r="K1" s="1" t="inlineStr">
        <is>
          <t>Cash From Operations</t>
        </is>
      </c>
      <c r="L1" s="1" t="inlineStr">
        <is>
          <t>PAT CAGR 5yr</t>
        </is>
      </c>
      <c r="M1" s="1" t="inlineStr">
        <is>
          <t>Revenue CAGR 5yr</t>
        </is>
      </c>
      <c r="N1" s="1" t="inlineStr">
        <is>
          <t>EPS CAGR 5yr</t>
        </is>
      </c>
      <c r="O1" s="1" t="inlineStr">
        <is>
          <t>Net Profit</t>
        </is>
      </c>
      <c r="P1" s="1" t="inlineStr">
        <is>
          <t>Sales</t>
        </is>
      </c>
      <c r="Q1" s="1" t="inlineStr">
        <is>
          <t>P/E</t>
        </is>
      </c>
      <c r="R1" s="1" t="inlineStr">
        <is>
          <t>P/B</t>
        </is>
      </c>
      <c r="S1" s="1" t="inlineStr">
        <is>
          <t>EV/EBITDA</t>
        </is>
      </c>
      <c r="T1" s="1" t="inlineStr">
        <is>
          <t>Dividend Yield</t>
        </is>
      </c>
      <c r="U1" s="1" t="inlineStr">
        <is>
          <t>Dividend Payout</t>
        </is>
      </c>
      <c r="V1" s="1" t="inlineStr">
        <is>
          <t>Composite Score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Operating Profit Margin Percentile</t>
        </is>
      </c>
      <c r="AA1" s="1" t="inlineStr">
        <is>
          <t>D/E Percentile</t>
        </is>
      </c>
      <c r="AB1" s="1" t="inlineStr">
        <is>
          <t>Interest Coverage Percentile</t>
        </is>
      </c>
      <c r="AC1" s="1" t="inlineStr">
        <is>
          <t>Asset Turnover Percentile</t>
        </is>
      </c>
      <c r="AD1" s="1" t="inlineStr">
        <is>
          <t>Free Cash Flow Percentile</t>
        </is>
      </c>
      <c r="AE1" s="1" t="inlineStr">
        <is>
          <t>Cash From Operations Percentile</t>
        </is>
      </c>
      <c r="AF1" s="1" t="inlineStr">
        <is>
          <t>PAT CAGR 5yr Percentile</t>
        </is>
      </c>
      <c r="AG1" s="1" t="inlineStr">
        <is>
          <t>Revenue CAGR 5yr Percentile</t>
        </is>
      </c>
      <c r="AH1" s="1" t="inlineStr">
        <is>
          <t>EPS CAGR 5yr Percentile</t>
        </is>
      </c>
      <c r="AI1" s="1" t="inlineStr">
        <is>
          <t>Net Profit Percentile</t>
        </is>
      </c>
      <c r="AJ1" s="1" t="inlineStr">
        <is>
          <t>Sales Percentile</t>
        </is>
      </c>
      <c r="AK1" s="1" t="inlineStr">
        <is>
          <t>P/E Percentile</t>
        </is>
      </c>
      <c r="AL1" s="1" t="inlineStr">
        <is>
          <t>P/B Percentile</t>
        </is>
      </c>
      <c r="AM1" s="1" t="inlineStr">
        <is>
          <t>EV/EBITDA Percentile</t>
        </is>
      </c>
      <c r="AN1" s="1" t="inlineStr">
        <is>
          <t>Dividend Yield Percentile</t>
        </is>
      </c>
      <c r="AO1" s="1" t="inlineStr">
        <is>
          <t>Dividend Payout Percentile</t>
        </is>
      </c>
      <c r="AP1" s="1" t="inlineStr">
        <is>
          <t>Composite Score Percentile</t>
        </is>
      </c>
    </row>
    <row r="2">
      <c r="A2" s="2" t="inlineStr">
        <is>
          <t>ADANIGREEN</t>
        </is>
      </c>
      <c r="B2" s="2" t="inlineStr">
        <is>
          <t>Adani Green Energy Ltd</t>
        </is>
      </c>
      <c r="C2" s="3" t="n">
        <v>12.81269066503966</v>
      </c>
      <c r="D2" s="3" t="n">
        <v>9.797568682054303</v>
      </c>
      <c r="E2" s="3" t="n">
        <v>13.66594360086768</v>
      </c>
      <c r="F2" s="3" t="n">
        <v>79.3709327548807</v>
      </c>
      <c r="G2" s="3" t="n">
        <v>6.595281675818589</v>
      </c>
      <c r="H2" s="3" t="n">
        <v>1.713943268078306</v>
      </c>
      <c r="I2" s="3" t="n">
        <v>0.1046704357105556</v>
      </c>
      <c r="J2" s="3" t="n">
        <v>-13347</v>
      </c>
      <c r="K2" s="3" t="n">
        <v>7713</v>
      </c>
      <c r="L2" s="2" t="inlineStr"/>
      <c r="M2" s="3" t="n">
        <v>34.97617292638284</v>
      </c>
      <c r="N2" s="2" t="inlineStr"/>
      <c r="O2" s="3" t="n">
        <v>1928</v>
      </c>
      <c r="P2" s="3" t="n">
        <v>10782</v>
      </c>
      <c r="Q2" s="3" t="n">
        <v>45.26</v>
      </c>
      <c r="R2" s="3" t="n">
        <v>6.24</v>
      </c>
      <c r="S2" s="3" t="n">
        <v>21.78</v>
      </c>
      <c r="T2" s="3" t="n">
        <v>0.89</v>
      </c>
      <c r="U2" s="3" t="n">
        <v>0</v>
      </c>
      <c r="V2" s="3" t="n">
        <v>44.50819591625145</v>
      </c>
      <c r="W2" s="5" t="n">
        <v>0.3333333333333333</v>
      </c>
      <c r="X2" s="6" t="n">
        <v>0.1666666666666667</v>
      </c>
      <c r="Y2" s="5" t="n">
        <v>0.3333333333333333</v>
      </c>
      <c r="Z2" s="4" t="n">
        <v>0.8333333333333334</v>
      </c>
      <c r="AA2" s="6" t="n">
        <v>0</v>
      </c>
      <c r="AB2" s="6" t="n">
        <v>0</v>
      </c>
      <c r="AC2" s="6" t="n">
        <v>0.1666666666666667</v>
      </c>
      <c r="AD2" s="6" t="n">
        <v>0</v>
      </c>
      <c r="AE2" s="5" t="n">
        <v>0.3333333333333333</v>
      </c>
      <c r="AF2" s="2" t="inlineStr"/>
      <c r="AG2" s="4" t="n">
        <v>1</v>
      </c>
      <c r="AH2" s="2" t="inlineStr"/>
      <c r="AI2" s="6" t="n">
        <v>0</v>
      </c>
      <c r="AJ2" s="6" t="n">
        <v>0.1666666666666667</v>
      </c>
      <c r="AK2" s="5" t="n">
        <v>0.6666666666666666</v>
      </c>
      <c r="AL2" s="5" t="n">
        <v>0.5</v>
      </c>
      <c r="AM2" s="5" t="n">
        <v>0.3333333333333333</v>
      </c>
      <c r="AN2" s="5" t="n">
        <v>0.3333333333333333</v>
      </c>
      <c r="AO2" s="4" t="n">
        <v>1</v>
      </c>
      <c r="AP2" s="6" t="n">
        <v>0.1666666666666667</v>
      </c>
    </row>
    <row r="3">
      <c r="A3" s="2" t="inlineStr">
        <is>
          <t>ADANIPOWER</t>
        </is>
      </c>
      <c r="B3" s="2" t="inlineStr">
        <is>
          <t>Adani Power Ltd</t>
        </is>
      </c>
      <c r="C3" s="3" t="n">
        <v>48.27674122146251</v>
      </c>
      <c r="D3" s="3" t="n">
        <v>23.44105657077455</v>
      </c>
      <c r="E3" s="3" t="n">
        <v>41.36759945184802</v>
      </c>
      <c r="F3" s="3" t="n">
        <v>36.20186292228556</v>
      </c>
      <c r="G3" s="3" t="n">
        <v>0.8023177656738903</v>
      </c>
      <c r="H3" s="3" t="n">
        <v>8.297225501770956</v>
      </c>
      <c r="I3" s="3" t="n">
        <v>0.5472399439185297</v>
      </c>
      <c r="J3" s="3" t="n">
        <v>17651</v>
      </c>
      <c r="K3" s="3" t="n">
        <v>14170</v>
      </c>
      <c r="L3" s="2" t="inlineStr"/>
      <c r="M3" s="3" t="n">
        <v>16.08609641044097</v>
      </c>
      <c r="N3" s="2" t="inlineStr"/>
      <c r="O3" s="3" t="n">
        <v>12686</v>
      </c>
      <c r="P3" s="3" t="n">
        <v>54650</v>
      </c>
      <c r="Q3" s="3" t="n">
        <v>44.57</v>
      </c>
      <c r="R3" s="3" t="n">
        <v>9.91</v>
      </c>
      <c r="S3" s="3" t="n">
        <v>24.76</v>
      </c>
      <c r="T3" s="3" t="n">
        <v>1.65</v>
      </c>
      <c r="U3" s="2" t="inlineStr"/>
      <c r="V3" s="3" t="n">
        <v>87.51479321093174</v>
      </c>
      <c r="W3" s="4" t="n">
        <v>1</v>
      </c>
      <c r="X3" s="4" t="n">
        <v>1</v>
      </c>
      <c r="Y3" s="4" t="n">
        <v>0.8333333333333334</v>
      </c>
      <c r="Z3" s="5" t="n">
        <v>0.3333333333333333</v>
      </c>
      <c r="AA3" s="4" t="n">
        <v>1</v>
      </c>
      <c r="AB3" s="4" t="n">
        <v>0.8333333333333334</v>
      </c>
      <c r="AC3" s="4" t="n">
        <v>1</v>
      </c>
      <c r="AD3" s="4" t="n">
        <v>0.8333333333333334</v>
      </c>
      <c r="AE3" s="5" t="n">
        <v>0.6666666666666666</v>
      </c>
      <c r="AF3" s="2" t="inlineStr"/>
      <c r="AG3" s="4" t="n">
        <v>0.8333333333333334</v>
      </c>
      <c r="AH3" s="2" t="inlineStr"/>
      <c r="AI3" s="5" t="n">
        <v>0.6666666666666666</v>
      </c>
      <c r="AJ3" s="5" t="n">
        <v>0.6666666666666666</v>
      </c>
      <c r="AK3" s="5" t="n">
        <v>0.5</v>
      </c>
      <c r="AL3" s="4" t="n">
        <v>0.8333333333333334</v>
      </c>
      <c r="AM3" s="5" t="n">
        <v>0.6666666666666666</v>
      </c>
      <c r="AN3" s="5" t="n">
        <v>0.6666666666666666</v>
      </c>
      <c r="AO3" s="2" t="inlineStr"/>
      <c r="AP3" s="4" t="n">
        <v>1</v>
      </c>
    </row>
    <row r="4">
      <c r="A4" s="2" t="inlineStr">
        <is>
          <t>JSWENERGY</t>
        </is>
      </c>
      <c r="B4" s="2" t="inlineStr">
        <is>
          <t>JSW Energy Ltd</t>
        </is>
      </c>
      <c r="C4" s="3" t="n">
        <v>8.280529953917052</v>
      </c>
      <c r="D4" s="3" t="n">
        <v>10.27001240339662</v>
      </c>
      <c r="E4" s="3" t="n">
        <v>15.01828312728539</v>
      </c>
      <c r="F4" s="3" t="n">
        <v>46.85704335713042</v>
      </c>
      <c r="G4" s="3" t="n">
        <v>1.515600998463902</v>
      </c>
      <c r="H4" s="3" t="n">
        <v>2.851436921578178</v>
      </c>
      <c r="I4" s="3" t="n">
        <v>0.1988332438935725</v>
      </c>
      <c r="J4" s="3" t="n">
        <v>-1963</v>
      </c>
      <c r="K4" s="3" t="n">
        <v>6234</v>
      </c>
      <c r="L4" s="3" t="n">
        <v>20.32243146979456</v>
      </c>
      <c r="M4" s="3" t="n">
        <v>4.679956053916468</v>
      </c>
      <c r="N4" s="3" t="n">
        <v>20.11244339814313</v>
      </c>
      <c r="O4" s="3" t="n">
        <v>1988</v>
      </c>
      <c r="P4" s="3" t="n">
        <v>11416</v>
      </c>
      <c r="Q4" s="3" t="n">
        <v>24.79</v>
      </c>
      <c r="R4" s="3" t="n">
        <v>9.880000000000001</v>
      </c>
      <c r="S4" s="3" t="n">
        <v>35.95</v>
      </c>
      <c r="T4" s="3" t="n">
        <v>1.25</v>
      </c>
      <c r="U4" s="2" t="inlineStr"/>
      <c r="V4" s="3" t="n">
        <v>43.99585644920305</v>
      </c>
      <c r="W4" s="6" t="n">
        <v>0</v>
      </c>
      <c r="X4" s="5" t="n">
        <v>0.3333333333333333</v>
      </c>
      <c r="Y4" s="5" t="n">
        <v>0.5</v>
      </c>
      <c r="Z4" s="5" t="n">
        <v>0.5</v>
      </c>
      <c r="AA4" s="5" t="n">
        <v>0.3333333333333334</v>
      </c>
      <c r="AB4" s="6" t="n">
        <v>0.1666666666666667</v>
      </c>
      <c r="AC4" s="5" t="n">
        <v>0.5</v>
      </c>
      <c r="AD4" s="6" t="n">
        <v>0.1666666666666667</v>
      </c>
      <c r="AE4" s="6" t="n">
        <v>0</v>
      </c>
      <c r="AF4" s="4" t="n">
        <v>1</v>
      </c>
      <c r="AG4" s="6" t="n">
        <v>0.1666666666666667</v>
      </c>
      <c r="AH4" s="4" t="n">
        <v>1</v>
      </c>
      <c r="AI4" s="6" t="n">
        <v>0.1666666666666667</v>
      </c>
      <c r="AJ4" s="5" t="n">
        <v>0.3333333333333333</v>
      </c>
      <c r="AK4" s="6" t="n">
        <v>0.1666666666666667</v>
      </c>
      <c r="AL4" s="5" t="n">
        <v>0.6666666666666666</v>
      </c>
      <c r="AM4" s="4" t="n">
        <v>0.8333333333333334</v>
      </c>
      <c r="AN4" s="5" t="n">
        <v>0.5</v>
      </c>
      <c r="AO4" s="2" t="inlineStr"/>
      <c r="AP4" s="6" t="n">
        <v>0</v>
      </c>
    </row>
    <row r="5">
      <c r="A5" s="2" t="inlineStr">
        <is>
          <t>NHPC</t>
        </is>
      </c>
      <c r="B5" s="2" t="inlineStr">
        <is>
          <t xml:space="preserve">NHPC Ltd
</t>
        </is>
      </c>
      <c r="C5" s="3" t="n">
        <v>10.40773086662188</v>
      </c>
      <c r="D5" s="3" t="n">
        <v>6.745435920463634</v>
      </c>
      <c r="E5" s="3" t="n">
        <v>41.81893687707641</v>
      </c>
      <c r="F5" s="3" t="n">
        <v>49.90656146179402</v>
      </c>
      <c r="G5" s="3" t="n">
        <v>0.8413260296625498</v>
      </c>
      <c r="H5" s="3" t="n">
        <v>11.24342105263158</v>
      </c>
      <c r="I5" s="3" t="n">
        <v>0.1032401899310803</v>
      </c>
      <c r="J5" s="3" t="n">
        <v>970</v>
      </c>
      <c r="K5" s="3" t="n">
        <v>6938</v>
      </c>
      <c r="L5" s="3" t="n">
        <v>7.269596517101484</v>
      </c>
      <c r="M5" s="3" t="n">
        <v>1.404917217643753</v>
      </c>
      <c r="N5" s="3" t="n">
        <v>5.922384104881218</v>
      </c>
      <c r="O5" s="3" t="n">
        <v>3417</v>
      </c>
      <c r="P5" s="3" t="n">
        <v>9690</v>
      </c>
      <c r="Q5" s="3" t="n">
        <v>71.17</v>
      </c>
      <c r="R5" s="3" t="n">
        <v>13.74</v>
      </c>
      <c r="S5" s="3" t="n">
        <v>18.26</v>
      </c>
      <c r="T5" s="3" t="n">
        <v>1.68</v>
      </c>
      <c r="U5" s="2" t="inlineStr"/>
      <c r="V5" s="3" t="n">
        <v>64.50979460419356</v>
      </c>
      <c r="W5" s="6" t="n">
        <v>0.1666666666666667</v>
      </c>
      <c r="X5" s="6" t="n">
        <v>0</v>
      </c>
      <c r="Y5" s="4" t="n">
        <v>1</v>
      </c>
      <c r="Z5" s="5" t="n">
        <v>0.6666666666666666</v>
      </c>
      <c r="AA5" s="4" t="n">
        <v>0.8333333333333334</v>
      </c>
      <c r="AB5" s="4" t="n">
        <v>1</v>
      </c>
      <c r="AC5" s="6" t="n">
        <v>0</v>
      </c>
      <c r="AD5" s="5" t="n">
        <v>0.3333333333333333</v>
      </c>
      <c r="AE5" s="6" t="n">
        <v>0.1666666666666667</v>
      </c>
      <c r="AF5" s="6" t="n">
        <v>0</v>
      </c>
      <c r="AG5" s="6" t="n">
        <v>0</v>
      </c>
      <c r="AH5" s="6" t="n">
        <v>0</v>
      </c>
      <c r="AI5" s="5" t="n">
        <v>0.3333333333333333</v>
      </c>
      <c r="AJ5" s="6" t="n">
        <v>0</v>
      </c>
      <c r="AK5" s="4" t="n">
        <v>1</v>
      </c>
      <c r="AL5" s="4" t="n">
        <v>1</v>
      </c>
      <c r="AM5" s="6" t="n">
        <v>0.1666666666666667</v>
      </c>
      <c r="AN5" s="4" t="n">
        <v>0.8333333333333334</v>
      </c>
      <c r="AO5" s="2" t="inlineStr"/>
      <c r="AP5" s="5" t="n">
        <v>0.6666666666666666</v>
      </c>
    </row>
    <row r="6">
      <c r="A6" s="7" t="inlineStr">
        <is>
          <t>NTPC</t>
        </is>
      </c>
      <c r="B6" s="7" t="inlineStr">
        <is>
          <t>NTPC Ltd</t>
        </is>
      </c>
      <c r="C6" s="8" t="n">
        <v>13.27359840706863</v>
      </c>
      <c r="D6" s="8" t="n">
        <v>12.93381024077458</v>
      </c>
      <c r="E6" s="8" t="n">
        <v>11.95063332978527</v>
      </c>
      <c r="F6" s="8" t="n">
        <v>28.82672926202094</v>
      </c>
      <c r="G6" s="8" t="n">
        <v>1.475521125007778</v>
      </c>
      <c r="H6" s="8" t="n">
        <v>4.604991464108609</v>
      </c>
      <c r="I6" s="8" t="n">
        <v>0.3724372910920176</v>
      </c>
      <c r="J6" s="8" t="n">
        <v>8644</v>
      </c>
      <c r="K6" s="8" t="n">
        <v>40785</v>
      </c>
      <c r="L6" s="8" t="n">
        <v>8.735165684951163</v>
      </c>
      <c r="M6" s="8" t="n">
        <v>12.22230965433799</v>
      </c>
      <c r="N6" s="8" t="n">
        <v>8.447177119769854</v>
      </c>
      <c r="O6" s="8" t="n">
        <v>22546</v>
      </c>
      <c r="P6" s="8" t="n">
        <v>185892</v>
      </c>
      <c r="Q6" s="8" t="n">
        <v>30.8</v>
      </c>
      <c r="R6" s="8" t="n">
        <v>5.24</v>
      </c>
      <c r="S6" s="8" t="n">
        <v>37.12</v>
      </c>
      <c r="T6" s="8" t="n">
        <v>0.06</v>
      </c>
      <c r="U6" s="7" t="inlineStr"/>
      <c r="V6" s="8" t="n">
        <v>57.48224228386458</v>
      </c>
      <c r="W6" s="5" t="n">
        <v>0.6666666666666666</v>
      </c>
      <c r="X6" s="5" t="n">
        <v>0.6666666666666666</v>
      </c>
      <c r="Y6" s="6" t="n">
        <v>0.1666666666666667</v>
      </c>
      <c r="Z6" s="6" t="n">
        <v>0.1666666666666667</v>
      </c>
      <c r="AA6" s="5" t="n">
        <v>0.5</v>
      </c>
      <c r="AB6" s="5" t="n">
        <v>0.6666666666666666</v>
      </c>
      <c r="AC6" s="5" t="n">
        <v>0.6666666666666666</v>
      </c>
      <c r="AD6" s="5" t="n">
        <v>0.6666666666666666</v>
      </c>
      <c r="AE6" s="4" t="n">
        <v>1</v>
      </c>
      <c r="AF6" s="6" t="n">
        <v>0.25</v>
      </c>
      <c r="AG6" s="5" t="n">
        <v>0.5</v>
      </c>
      <c r="AH6" s="5" t="n">
        <v>0.5</v>
      </c>
      <c r="AI6" s="4" t="n">
        <v>1</v>
      </c>
      <c r="AJ6" s="4" t="n">
        <v>1</v>
      </c>
      <c r="AK6" s="5" t="n">
        <v>0.3333333333333333</v>
      </c>
      <c r="AL6" s="5" t="n">
        <v>0.3333333333333333</v>
      </c>
      <c r="AM6" s="4" t="n">
        <v>1</v>
      </c>
      <c r="AN6" s="6" t="n">
        <v>0</v>
      </c>
      <c r="AO6" s="2" t="inlineStr"/>
      <c r="AP6" s="5" t="n">
        <v>0.5</v>
      </c>
    </row>
    <row r="7">
      <c r="A7" s="2" t="inlineStr">
        <is>
          <t>POWERGRID</t>
        </is>
      </c>
      <c r="B7" s="2" t="inlineStr">
        <is>
          <t>Power Grid Corporation of India Ltd</t>
        </is>
      </c>
      <c r="C7" s="3" t="n">
        <v>17.87001124549607</v>
      </c>
      <c r="D7" s="3" t="n">
        <v>18.90516562075742</v>
      </c>
      <c r="E7" s="3" t="n">
        <v>33.97028990249329</v>
      </c>
      <c r="F7" s="3" t="n">
        <v>86.87476823070044</v>
      </c>
      <c r="G7" s="3" t="n">
        <v>1.417345603929039</v>
      </c>
      <c r="H7" s="3" t="n">
        <v>4.60298643565485</v>
      </c>
      <c r="I7" s="3" t="n">
        <v>0.1827659481160472</v>
      </c>
      <c r="J7" s="3" t="n">
        <v>24176</v>
      </c>
      <c r="K7" s="3" t="n">
        <v>37290</v>
      </c>
      <c r="L7" s="3" t="n">
        <v>9.189188268434778</v>
      </c>
      <c r="M7" s="3" t="n">
        <v>5.510261937513361</v>
      </c>
      <c r="N7" s="3" t="n">
        <v>9.096607850144967</v>
      </c>
      <c r="O7" s="3" t="n">
        <v>15712</v>
      </c>
      <c r="P7" s="3" t="n">
        <v>45812</v>
      </c>
      <c r="Q7" s="3" t="n">
        <v>64.39</v>
      </c>
      <c r="R7" s="3" t="n">
        <v>5.1</v>
      </c>
      <c r="S7" s="3" t="n">
        <v>23.07</v>
      </c>
      <c r="T7" s="3" t="n">
        <v>3.09</v>
      </c>
      <c r="U7" s="2" t="inlineStr"/>
      <c r="V7" s="3" t="n">
        <v>68.3294121155762</v>
      </c>
      <c r="W7" s="4" t="n">
        <v>0.8333333333333334</v>
      </c>
      <c r="X7" s="4" t="n">
        <v>0.8333333333333334</v>
      </c>
      <c r="Y7" s="5" t="n">
        <v>0.6666666666666666</v>
      </c>
      <c r="Z7" s="4" t="n">
        <v>1</v>
      </c>
      <c r="AA7" s="5" t="n">
        <v>0.6666666666666667</v>
      </c>
      <c r="AB7" s="5" t="n">
        <v>0.5</v>
      </c>
      <c r="AC7" s="5" t="n">
        <v>0.3333333333333333</v>
      </c>
      <c r="AD7" s="4" t="n">
        <v>1</v>
      </c>
      <c r="AE7" s="4" t="n">
        <v>0.8333333333333334</v>
      </c>
      <c r="AF7" s="5" t="n">
        <v>0.5</v>
      </c>
      <c r="AG7" s="5" t="n">
        <v>0.3333333333333333</v>
      </c>
      <c r="AH7" s="4" t="n">
        <v>0.75</v>
      </c>
      <c r="AI7" s="4" t="n">
        <v>0.8333333333333334</v>
      </c>
      <c r="AJ7" s="5" t="n">
        <v>0.5</v>
      </c>
      <c r="AK7" s="4" t="n">
        <v>0.8333333333333334</v>
      </c>
      <c r="AL7" s="6" t="n">
        <v>0.1666666666666667</v>
      </c>
      <c r="AM7" s="5" t="n">
        <v>0.5</v>
      </c>
      <c r="AN7" s="4" t="n">
        <v>1</v>
      </c>
      <c r="AO7" s="2" t="inlineStr"/>
      <c r="AP7" s="4" t="n">
        <v>0.8333333333333334</v>
      </c>
    </row>
    <row r="8">
      <c r="A8" s="2" t="inlineStr">
        <is>
          <t>TATAPOWER</t>
        </is>
      </c>
      <c r="B8" s="2" t="inlineStr">
        <is>
          <t xml:space="preserve">Tata Power Company Ltd
</t>
        </is>
      </c>
      <c r="C8" s="3" t="n">
        <v>13.22784027691927</v>
      </c>
      <c r="D8" s="3" t="n">
        <v>12.47602998431054</v>
      </c>
      <c r="E8" s="3" t="n">
        <v>6.965125551270159</v>
      </c>
      <c r="F8" s="3" t="n">
        <v>17.46977168058065</v>
      </c>
      <c r="G8" s="3" t="n">
        <v>1.659321300531586</v>
      </c>
      <c r="H8" s="3" t="n">
        <v>3.054392402331103</v>
      </c>
      <c r="I8" s="3" t="n">
        <v>0.4419074604110633</v>
      </c>
      <c r="J8" s="3" t="n">
        <v>3569</v>
      </c>
      <c r="K8" s="3" t="n">
        <v>12596</v>
      </c>
      <c r="L8" s="3" t="n">
        <v>10.431728917459</v>
      </c>
      <c r="M8" s="3" t="n">
        <v>15.51115820187641</v>
      </c>
      <c r="N8" s="3" t="n">
        <v>5.922384104881218</v>
      </c>
      <c r="O8" s="3" t="n">
        <v>4403</v>
      </c>
      <c r="P8" s="3" t="n">
        <v>63489</v>
      </c>
      <c r="Q8" s="3" t="n">
        <v>14.5</v>
      </c>
      <c r="R8" s="3" t="n">
        <v>3.48</v>
      </c>
      <c r="S8" s="3" t="n">
        <v>12.02</v>
      </c>
      <c r="T8" s="3" t="n">
        <v>0.49</v>
      </c>
      <c r="U8" s="2" t="inlineStr"/>
      <c r="V8" s="3" t="n">
        <v>49.38303376057529</v>
      </c>
      <c r="W8" s="5" t="n">
        <v>0.5</v>
      </c>
      <c r="X8" s="5" t="n">
        <v>0.5</v>
      </c>
      <c r="Y8" s="6" t="n">
        <v>0</v>
      </c>
      <c r="Z8" s="6" t="n">
        <v>0</v>
      </c>
      <c r="AA8" s="6" t="n">
        <v>0.1666666666666666</v>
      </c>
      <c r="AB8" s="5" t="n">
        <v>0.3333333333333333</v>
      </c>
      <c r="AC8" s="4" t="n">
        <v>0.8333333333333334</v>
      </c>
      <c r="AD8" s="5" t="n">
        <v>0.5</v>
      </c>
      <c r="AE8" s="5" t="n">
        <v>0.5</v>
      </c>
      <c r="AF8" s="4" t="n">
        <v>0.75</v>
      </c>
      <c r="AG8" s="5" t="n">
        <v>0.6666666666666666</v>
      </c>
      <c r="AH8" s="6" t="n">
        <v>0</v>
      </c>
      <c r="AI8" s="5" t="n">
        <v>0.5</v>
      </c>
      <c r="AJ8" s="4" t="n">
        <v>0.8333333333333334</v>
      </c>
      <c r="AK8" s="6" t="n">
        <v>0</v>
      </c>
      <c r="AL8" s="6" t="n">
        <v>0</v>
      </c>
      <c r="AM8" s="6" t="n">
        <v>0</v>
      </c>
      <c r="AN8" s="6" t="n">
        <v>0.1666666666666667</v>
      </c>
      <c r="AO8" s="2" t="inlineStr"/>
      <c r="AP8" s="5" t="n">
        <v>0.3333333333333333</v>
      </c>
    </row>
    <row r="9">
      <c r="A9" s="9" t="inlineStr">
        <is>
          <t>Peer Median</t>
        </is>
      </c>
      <c r="B9" s="9" t="inlineStr">
        <is>
          <t>Peer Group Median</t>
        </is>
      </c>
      <c r="C9" s="9">
        <f>MEDIAN(C2:C8)</f>
        <v/>
      </c>
      <c r="D9" s="9">
        <f>MEDIAN(D2:D8)</f>
        <v/>
      </c>
      <c r="E9" s="9">
        <f>MEDIAN(E2:E8)</f>
        <v/>
      </c>
      <c r="F9" s="9">
        <f>MEDIAN(F2:F8)</f>
        <v/>
      </c>
      <c r="G9" s="9">
        <f>MEDIAN(G2:G8)</f>
        <v/>
      </c>
      <c r="H9" s="9">
        <f>MEDIAN(H2:H8)</f>
        <v/>
      </c>
      <c r="I9" s="9">
        <f>MEDIAN(I2:I8)</f>
        <v/>
      </c>
      <c r="J9" s="9">
        <f>MEDIAN(J2:J8)</f>
        <v/>
      </c>
      <c r="K9" s="9">
        <f>MEDIAN(K2:K8)</f>
        <v/>
      </c>
      <c r="L9" s="9">
        <f>MEDIAN(L2:L8)</f>
        <v/>
      </c>
      <c r="M9" s="9">
        <f>MEDIAN(M2:M8)</f>
        <v/>
      </c>
      <c r="N9" s="9">
        <f>MEDIAN(N2:N8)</f>
        <v/>
      </c>
      <c r="O9" s="9">
        <f>MEDIAN(O2:O8)</f>
        <v/>
      </c>
      <c r="P9" s="9">
        <f>MEDIAN(P2:P8)</f>
        <v/>
      </c>
      <c r="Q9" s="9">
        <f>MEDIAN(Q2:Q8)</f>
        <v/>
      </c>
      <c r="R9" s="9">
        <f>MEDIAN(R2:R8)</f>
        <v/>
      </c>
      <c r="S9" s="9">
        <f>MEDIAN(S2:S8)</f>
        <v/>
      </c>
      <c r="T9" s="9">
        <f>MEDIAN(T2:T8)</f>
        <v/>
      </c>
      <c r="U9" s="9">
        <f>MEDIAN(U2:U8)</f>
        <v/>
      </c>
      <c r="V9" s="9">
        <f>MEDIAN(V2:V8)</f>
        <v/>
      </c>
      <c r="W9" s="9">
        <f>MEDIAN(W2:W8)</f>
        <v/>
      </c>
      <c r="X9" s="9">
        <f>MEDIAN(X2:X8)</f>
        <v/>
      </c>
      <c r="Y9" s="9">
        <f>MEDIAN(Y2:Y8)</f>
        <v/>
      </c>
      <c r="Z9" s="9">
        <f>MEDIAN(Z2:Z8)</f>
        <v/>
      </c>
      <c r="AA9" s="9">
        <f>MEDIAN(AA2:AA8)</f>
        <v/>
      </c>
      <c r="AB9" s="9">
        <f>MEDIAN(AB2:AB8)</f>
        <v/>
      </c>
      <c r="AC9" s="9">
        <f>MEDIAN(AC2:AC8)</f>
        <v/>
      </c>
      <c r="AD9" s="9">
        <f>MEDIAN(AD2:AD8)</f>
        <v/>
      </c>
      <c r="AE9" s="9">
        <f>MEDIAN(AE2:AE8)</f>
        <v/>
      </c>
      <c r="AF9" s="9">
        <f>MEDIAN(AF2:AF8)</f>
        <v/>
      </c>
      <c r="AG9" s="9">
        <f>MEDIAN(AG2:AG8)</f>
        <v/>
      </c>
      <c r="AH9" s="9">
        <f>MEDIAN(AH2:AH8)</f>
        <v/>
      </c>
      <c r="AI9" s="9">
        <f>MEDIAN(AI2:AI8)</f>
        <v/>
      </c>
      <c r="AJ9" s="9">
        <f>MEDIAN(AJ2:AJ8)</f>
        <v/>
      </c>
      <c r="AK9" s="9">
        <f>MEDIAN(AK2:AK8)</f>
        <v/>
      </c>
      <c r="AL9" s="9">
        <f>MEDIAN(AL2:AL8)</f>
        <v/>
      </c>
      <c r="AM9" s="9">
        <f>MEDIAN(AM2:AM8)</f>
        <v/>
      </c>
      <c r="AN9" s="9">
        <f>MEDIAN(AN2:AN8)</f>
        <v/>
      </c>
      <c r="AO9" s="9">
        <f>MEDIAN(AO2:AO8)</f>
        <v/>
      </c>
      <c r="AP9" s="9">
        <f>MEDIAN(AP2:AP8)</f>
        <v/>
      </c>
    </row>
  </sheetData>
  <autoFilter ref="A1:AP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Operating Profit Margin</t>
        </is>
      </c>
      <c r="G1" s="1" t="inlineStr">
        <is>
          <t>D/E</t>
        </is>
      </c>
      <c r="H1" s="1" t="inlineStr">
        <is>
          <t>Interest Coverage</t>
        </is>
      </c>
      <c r="I1" s="1" t="inlineStr">
        <is>
          <t>Asset Turnover</t>
        </is>
      </c>
      <c r="J1" s="1" t="inlineStr">
        <is>
          <t>Free Cash Flow</t>
        </is>
      </c>
      <c r="K1" s="1" t="inlineStr">
        <is>
          <t>Cash From Operations</t>
        </is>
      </c>
      <c r="L1" s="1" t="inlineStr">
        <is>
          <t>PAT CAGR 5yr</t>
        </is>
      </c>
      <c r="M1" s="1" t="inlineStr">
        <is>
          <t>Revenue CAGR 5yr</t>
        </is>
      </c>
      <c r="N1" s="1" t="inlineStr">
        <is>
          <t>EPS CAGR 5yr</t>
        </is>
      </c>
      <c r="O1" s="1" t="inlineStr">
        <is>
          <t>Net Profit</t>
        </is>
      </c>
      <c r="P1" s="1" t="inlineStr">
        <is>
          <t>Sales</t>
        </is>
      </c>
      <c r="Q1" s="1" t="inlineStr">
        <is>
          <t>P/E</t>
        </is>
      </c>
      <c r="R1" s="1" t="inlineStr">
        <is>
          <t>P/B</t>
        </is>
      </c>
      <c r="S1" s="1" t="inlineStr">
        <is>
          <t>EV/EBITDA</t>
        </is>
      </c>
      <c r="T1" s="1" t="inlineStr">
        <is>
          <t>Dividend Yield</t>
        </is>
      </c>
      <c r="U1" s="1" t="inlineStr">
        <is>
          <t>Dividend Payout</t>
        </is>
      </c>
      <c r="V1" s="1" t="inlineStr">
        <is>
          <t>Composite Score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Operating Profit Margin Percentile</t>
        </is>
      </c>
      <c r="AA1" s="1" t="inlineStr">
        <is>
          <t>D/E Percentile</t>
        </is>
      </c>
      <c r="AB1" s="1" t="inlineStr">
        <is>
          <t>Interest Coverage Percentile</t>
        </is>
      </c>
      <c r="AC1" s="1" t="inlineStr">
        <is>
          <t>Asset Turnover Percentile</t>
        </is>
      </c>
      <c r="AD1" s="1" t="inlineStr">
        <is>
          <t>Free Cash Flow Percentile</t>
        </is>
      </c>
      <c r="AE1" s="1" t="inlineStr">
        <is>
          <t>Cash From Operations Percentile</t>
        </is>
      </c>
      <c r="AF1" s="1" t="inlineStr">
        <is>
          <t>PAT CAGR 5yr Percentile</t>
        </is>
      </c>
      <c r="AG1" s="1" t="inlineStr">
        <is>
          <t>Revenue CAGR 5yr Percentile</t>
        </is>
      </c>
      <c r="AH1" s="1" t="inlineStr">
        <is>
          <t>EPS CAGR 5yr Percentile</t>
        </is>
      </c>
      <c r="AI1" s="1" t="inlineStr">
        <is>
          <t>Net Profit Percentile</t>
        </is>
      </c>
      <c r="AJ1" s="1" t="inlineStr">
        <is>
          <t>Sales Percentile</t>
        </is>
      </c>
      <c r="AK1" s="1" t="inlineStr">
        <is>
          <t>P/E Percentile</t>
        </is>
      </c>
      <c r="AL1" s="1" t="inlineStr">
        <is>
          <t>P/B Percentile</t>
        </is>
      </c>
      <c r="AM1" s="1" t="inlineStr">
        <is>
          <t>EV/EBITDA Percentile</t>
        </is>
      </c>
      <c r="AN1" s="1" t="inlineStr">
        <is>
          <t>Dividend Yield Percentile</t>
        </is>
      </c>
      <c r="AO1" s="1" t="inlineStr">
        <is>
          <t>Dividend Payout Percentile</t>
        </is>
      </c>
      <c r="AP1" s="1" t="inlineStr">
        <is>
          <t>Composite Score Percentile</t>
        </is>
      </c>
    </row>
    <row r="2">
      <c r="A2" s="2" t="inlineStr">
        <is>
          <t>AXISBANK</t>
        </is>
      </c>
      <c r="B2" s="2" t="inlineStr">
        <is>
          <t>Axis Bank Ltd</t>
        </is>
      </c>
      <c r="C2" s="3" t="n">
        <v>15.83271240518905</v>
      </c>
      <c r="D2" s="3" t="n">
        <v>2.612569500628303</v>
      </c>
      <c r="E2" s="3" t="n">
        <v>22.73130411725443</v>
      </c>
      <c r="F2" s="3" t="n">
        <v>34.69264599658038</v>
      </c>
      <c r="G2" s="3" t="n">
        <v>8.249122739980766</v>
      </c>
      <c r="H2" s="3" t="n">
        <v>1.691203992514036</v>
      </c>
      <c r="I2" s="3" t="n">
        <v>0.0720367478374617</v>
      </c>
      <c r="J2" s="3" t="n">
        <v>-14556</v>
      </c>
      <c r="K2" s="3" t="n">
        <v>-5555</v>
      </c>
      <c r="L2" s="3" t="n">
        <v>39.67228711897934</v>
      </c>
      <c r="M2" s="3" t="n">
        <v>14.74358712051438</v>
      </c>
      <c r="N2" s="3" t="n">
        <v>35.09600385206135</v>
      </c>
      <c r="O2" s="3" t="n">
        <v>26386</v>
      </c>
      <c r="P2" s="3" t="n">
        <v>120659</v>
      </c>
      <c r="Q2" s="3" t="n">
        <v>38.14</v>
      </c>
      <c r="R2" s="3" t="n">
        <v>4.66</v>
      </c>
      <c r="S2" s="3" t="n">
        <v>16.87</v>
      </c>
      <c r="T2" s="3" t="n">
        <v>2.32</v>
      </c>
      <c r="U2" s="2" t="inlineStr"/>
      <c r="V2" s="3" t="n">
        <v>42.30321839869471</v>
      </c>
      <c r="W2" s="4" t="n">
        <v>0.75</v>
      </c>
      <c r="X2" s="6" t="n">
        <v>0</v>
      </c>
      <c r="Y2" s="6" t="n">
        <v>0.25</v>
      </c>
      <c r="Z2" s="6" t="n">
        <v>0</v>
      </c>
      <c r="AA2" s="6" t="n">
        <v>0</v>
      </c>
      <c r="AB2" s="4" t="n">
        <v>0.75</v>
      </c>
      <c r="AC2" s="5" t="n">
        <v>0.5</v>
      </c>
      <c r="AD2" s="6" t="n">
        <v>0.25</v>
      </c>
      <c r="AE2" s="6" t="n">
        <v>0.25</v>
      </c>
      <c r="AF2" s="4" t="n">
        <v>0.75</v>
      </c>
      <c r="AG2" s="6" t="n">
        <v>0.25</v>
      </c>
      <c r="AH2" s="4" t="n">
        <v>0.75</v>
      </c>
      <c r="AI2" s="5" t="n">
        <v>0.5</v>
      </c>
      <c r="AJ2" s="5" t="n">
        <v>0.5</v>
      </c>
      <c r="AK2" s="4" t="n">
        <v>0.75</v>
      </c>
      <c r="AL2" s="4" t="n">
        <v>0.75</v>
      </c>
      <c r="AM2" s="6" t="n">
        <v>0.25</v>
      </c>
      <c r="AN2" s="5" t="n">
        <v>0.5</v>
      </c>
      <c r="AO2" s="2" t="inlineStr"/>
      <c r="AP2" s="6" t="n">
        <v>0.25</v>
      </c>
    </row>
    <row r="3">
      <c r="A3" s="7" t="inlineStr">
        <is>
          <t>HDFCBANK</t>
        </is>
      </c>
      <c r="B3" s="7" t="inlineStr">
        <is>
          <t>HDFC Bank Ltd</t>
        </is>
      </c>
      <c r="C3" s="8" t="n">
        <v>14.33974005030719</v>
      </c>
      <c r="D3" s="8" t="n">
        <v>4.887792835880029</v>
      </c>
      <c r="E3" s="8" t="n">
        <v>23.07288232992184</v>
      </c>
      <c r="F3" s="8" t="n">
        <v>61.41252040373843</v>
      </c>
      <c r="G3" s="8" t="n">
        <v>6.808786667718385</v>
      </c>
      <c r="H3" s="8" t="n">
        <v>1.400768822479211</v>
      </c>
      <c r="I3" s="8" t="n">
        <v>0.07038097917866981</v>
      </c>
      <c r="J3" s="8" t="n">
        <v>35669</v>
      </c>
      <c r="K3" s="8" t="n">
        <v>19069</v>
      </c>
      <c r="L3" s="8" t="n">
        <v>23.86506357287907</v>
      </c>
      <c r="M3" s="8" t="n">
        <v>21.95098428169122</v>
      </c>
      <c r="N3" s="8" t="n">
        <v>15.42478808253083</v>
      </c>
      <c r="O3" s="8" t="n">
        <v>72168</v>
      </c>
      <c r="P3" s="8" t="n">
        <v>329022</v>
      </c>
      <c r="Q3" s="8" t="n">
        <v>49.42</v>
      </c>
      <c r="R3" s="8" t="n">
        <v>4.4</v>
      </c>
      <c r="S3" s="8" t="n">
        <v>22.54</v>
      </c>
      <c r="T3" s="8" t="n">
        <v>4.33</v>
      </c>
      <c r="U3" s="7" t="inlineStr"/>
      <c r="V3" s="8" t="n">
        <v>45.17881306453035</v>
      </c>
      <c r="W3" s="5" t="n">
        <v>0.5</v>
      </c>
      <c r="X3" s="5" t="n">
        <v>0.5</v>
      </c>
      <c r="Y3" s="5" t="n">
        <v>0.5</v>
      </c>
      <c r="Z3" s="5" t="n">
        <v>0.5</v>
      </c>
      <c r="AA3" s="5" t="n">
        <v>0.5</v>
      </c>
      <c r="AB3" s="5" t="n">
        <v>0.5</v>
      </c>
      <c r="AC3" s="6" t="n">
        <v>0.25</v>
      </c>
      <c r="AD3" s="4" t="n">
        <v>1</v>
      </c>
      <c r="AE3" s="4" t="n">
        <v>0.75</v>
      </c>
      <c r="AF3" s="5" t="n">
        <v>0.5</v>
      </c>
      <c r="AG3" s="4" t="n">
        <v>1</v>
      </c>
      <c r="AH3" s="6" t="n">
        <v>0</v>
      </c>
      <c r="AI3" s="4" t="n">
        <v>1</v>
      </c>
      <c r="AJ3" s="4" t="n">
        <v>1</v>
      </c>
      <c r="AK3" s="4" t="n">
        <v>1</v>
      </c>
      <c r="AL3" s="5" t="n">
        <v>0.5</v>
      </c>
      <c r="AM3" s="5" t="n">
        <v>0.5</v>
      </c>
      <c r="AN3" s="4" t="n">
        <v>1</v>
      </c>
      <c r="AO3" s="2" t="inlineStr"/>
      <c r="AP3" s="5" t="n">
        <v>0.5</v>
      </c>
    </row>
    <row r="4">
      <c r="A4" s="2" t="inlineStr">
        <is>
          <t>ICICIBANK</t>
        </is>
      </c>
      <c r="B4" s="2" t="inlineStr">
        <is>
          <t>ICICI Bank Ltd</t>
        </is>
      </c>
      <c r="C4" s="3" t="n">
        <v>17.99027109750765</v>
      </c>
      <c r="D4" s="3" t="n">
        <v>5.220349505440574</v>
      </c>
      <c r="E4" s="3" t="n">
        <v>28.8880112339828</v>
      </c>
      <c r="F4" s="3" t="n">
        <v>62.41380175029464</v>
      </c>
      <c r="G4" s="3" t="n">
        <v>6.445624336310825</v>
      </c>
      <c r="H4" s="3" t="n">
        <v>1.300946133138182</v>
      </c>
      <c r="I4" s="3" t="n">
        <v>0.06747535915921023</v>
      </c>
      <c r="J4" s="3" t="n">
        <v>12547</v>
      </c>
      <c r="K4" s="3" t="n">
        <v>157284</v>
      </c>
      <c r="L4" s="3" t="n">
        <v>51.94877118224903</v>
      </c>
      <c r="M4" s="3" t="n">
        <v>17.25086850260209</v>
      </c>
      <c r="N4" s="3" t="n">
        <v>55.18455739153598</v>
      </c>
      <c r="O4" s="3" t="n">
        <v>52416</v>
      </c>
      <c r="P4" s="3" t="n">
        <v>180551</v>
      </c>
      <c r="Q4" s="3" t="n">
        <v>25.76</v>
      </c>
      <c r="R4" s="3" t="n">
        <v>6.2</v>
      </c>
      <c r="S4" s="3" t="n">
        <v>38.28</v>
      </c>
      <c r="T4" s="3" t="n">
        <v>3.43</v>
      </c>
      <c r="U4" s="2" t="inlineStr"/>
      <c r="V4" s="3" t="n">
        <v>47.95655175528109</v>
      </c>
      <c r="W4" s="4" t="n">
        <v>1</v>
      </c>
      <c r="X4" s="4" t="n">
        <v>0.75</v>
      </c>
      <c r="Y4" s="4" t="n">
        <v>0.75</v>
      </c>
      <c r="Z4" s="4" t="n">
        <v>0.75</v>
      </c>
      <c r="AA4" s="4" t="n">
        <v>0.75</v>
      </c>
      <c r="AB4" s="6" t="n">
        <v>0.25</v>
      </c>
      <c r="AC4" s="6" t="n">
        <v>0</v>
      </c>
      <c r="AD4" s="4" t="n">
        <v>0.75</v>
      </c>
      <c r="AE4" s="4" t="n">
        <v>1</v>
      </c>
      <c r="AF4" s="4" t="n">
        <v>1</v>
      </c>
      <c r="AG4" s="4" t="n">
        <v>0.75</v>
      </c>
      <c r="AH4" s="4" t="n">
        <v>1</v>
      </c>
      <c r="AI4" s="4" t="n">
        <v>0.75</v>
      </c>
      <c r="AJ4" s="4" t="n">
        <v>0.75</v>
      </c>
      <c r="AK4" s="6" t="n">
        <v>0.25</v>
      </c>
      <c r="AL4" s="4" t="n">
        <v>1</v>
      </c>
      <c r="AM4" s="4" t="n">
        <v>1</v>
      </c>
      <c r="AN4" s="4" t="n">
        <v>0.75</v>
      </c>
      <c r="AO4" s="2" t="inlineStr"/>
      <c r="AP4" s="4" t="n">
        <v>1</v>
      </c>
    </row>
    <row r="5">
      <c r="A5" s="2" t="inlineStr">
        <is>
          <t>INDUSINDBK</t>
        </is>
      </c>
      <c r="B5" s="2" t="inlineStr">
        <is>
          <t>IndusInd Bank Ltd</t>
        </is>
      </c>
      <c r="C5" s="3" t="n">
        <v>14.25227319776422</v>
      </c>
      <c r="D5" s="3" t="n">
        <v>3.561786022241473</v>
      </c>
      <c r="E5" s="3" t="n">
        <v>19.56369677362945</v>
      </c>
      <c r="F5" s="3" t="n">
        <v>38.55469091544986</v>
      </c>
      <c r="G5" s="3" t="n">
        <v>6.885742949503957</v>
      </c>
      <c r="H5" s="3" t="n">
        <v>1.879527055815935</v>
      </c>
      <c r="I5" s="3" t="n">
        <v>0.08884228106460039</v>
      </c>
      <c r="J5" s="3" t="n">
        <v>-17468</v>
      </c>
      <c r="K5" s="3" t="n">
        <v>-16843</v>
      </c>
      <c r="L5" s="3" t="n">
        <v>22.07746495394836</v>
      </c>
      <c r="M5" s="3" t="n">
        <v>15.49561308335803</v>
      </c>
      <c r="N5" s="3" t="n">
        <v>15.89562187541786</v>
      </c>
      <c r="O5" s="3" t="n">
        <v>8122</v>
      </c>
      <c r="P5" s="3" t="n">
        <v>49004</v>
      </c>
      <c r="Q5" s="3" t="n">
        <v>8.99</v>
      </c>
      <c r="R5" s="3" t="n">
        <v>3.7</v>
      </c>
      <c r="S5" s="3" t="n">
        <v>28.79</v>
      </c>
      <c r="T5" s="3" t="n">
        <v>1.42</v>
      </c>
      <c r="U5" s="2" t="inlineStr"/>
      <c r="V5" s="3" t="n">
        <v>40.39249692643155</v>
      </c>
      <c r="W5" s="6" t="n">
        <v>0.25</v>
      </c>
      <c r="X5" s="6" t="n">
        <v>0.25</v>
      </c>
      <c r="Y5" s="6" t="n">
        <v>0</v>
      </c>
      <c r="Z5" s="6" t="n">
        <v>0.25</v>
      </c>
      <c r="AA5" s="6" t="n">
        <v>0.25</v>
      </c>
      <c r="AB5" s="4" t="n">
        <v>1</v>
      </c>
      <c r="AC5" s="4" t="n">
        <v>1</v>
      </c>
      <c r="AD5" s="6" t="n">
        <v>0</v>
      </c>
      <c r="AE5" s="6" t="n">
        <v>0</v>
      </c>
      <c r="AF5" s="6" t="n">
        <v>0.25</v>
      </c>
      <c r="AG5" s="5" t="n">
        <v>0.5</v>
      </c>
      <c r="AH5" s="6" t="n">
        <v>0.25</v>
      </c>
      <c r="AI5" s="6" t="n">
        <v>0</v>
      </c>
      <c r="AJ5" s="6" t="n">
        <v>0</v>
      </c>
      <c r="AK5" s="6" t="n">
        <v>0</v>
      </c>
      <c r="AL5" s="6" t="n">
        <v>0.25</v>
      </c>
      <c r="AM5" s="4" t="n">
        <v>0.75</v>
      </c>
      <c r="AN5" s="6" t="n">
        <v>0</v>
      </c>
      <c r="AO5" s="2" t="inlineStr"/>
      <c r="AP5" s="6" t="n">
        <v>0</v>
      </c>
    </row>
    <row r="6">
      <c r="A6" s="2" t="inlineStr">
        <is>
          <t>KOTAKBANK</t>
        </is>
      </c>
      <c r="B6" s="2" t="inlineStr">
        <is>
          <t xml:space="preserve">Kotak Mahindra Bank Ltd
</t>
        </is>
      </c>
      <c r="C6" s="3" t="n">
        <v>14.01301818853291</v>
      </c>
      <c r="D6" s="3" t="n">
        <v>7.234918028249577</v>
      </c>
      <c r="E6" s="3" t="n">
        <v>32.38615146611662</v>
      </c>
      <c r="F6" s="3" t="n">
        <v>83.66733645109092</v>
      </c>
      <c r="G6" s="3" t="n">
        <v>4.003739266919029</v>
      </c>
      <c r="H6" s="3" t="n">
        <v>1.236375108447038</v>
      </c>
      <c r="I6" s="3" t="n">
        <v>0.07325702420450533</v>
      </c>
      <c r="J6" s="3" t="n">
        <v>6766</v>
      </c>
      <c r="K6" s="3" t="n">
        <v>15685</v>
      </c>
      <c r="L6" s="3" t="n">
        <v>20.38200065626572</v>
      </c>
      <c r="M6" s="3" t="n">
        <v>13.51960376324537</v>
      </c>
      <c r="N6" s="3" t="n">
        <v>19.34407044160125</v>
      </c>
      <c r="O6" s="3" t="n">
        <v>22530</v>
      </c>
      <c r="P6" s="3" t="n">
        <v>64053</v>
      </c>
      <c r="Q6" s="3" t="n">
        <v>32.9</v>
      </c>
      <c r="R6" s="3" t="n">
        <v>1.15</v>
      </c>
      <c r="S6" s="3" t="n">
        <v>15.52</v>
      </c>
      <c r="T6" s="3" t="n">
        <v>1.51</v>
      </c>
      <c r="U6" s="2" t="inlineStr"/>
      <c r="V6" s="3" t="n">
        <v>47.28562466729756</v>
      </c>
      <c r="W6" s="6" t="n">
        <v>0</v>
      </c>
      <c r="X6" s="4" t="n">
        <v>1</v>
      </c>
      <c r="Y6" s="4" t="n">
        <v>1</v>
      </c>
      <c r="Z6" s="4" t="n">
        <v>1</v>
      </c>
      <c r="AA6" s="4" t="n">
        <v>1</v>
      </c>
      <c r="AB6" s="6" t="n">
        <v>0</v>
      </c>
      <c r="AC6" s="4" t="n">
        <v>0.75</v>
      </c>
      <c r="AD6" s="5" t="n">
        <v>0.5</v>
      </c>
      <c r="AE6" s="5" t="n">
        <v>0.5</v>
      </c>
      <c r="AF6" s="6" t="n">
        <v>0</v>
      </c>
      <c r="AG6" s="6" t="n">
        <v>0</v>
      </c>
      <c r="AH6" s="5" t="n">
        <v>0.5</v>
      </c>
      <c r="AI6" s="6" t="n">
        <v>0.25</v>
      </c>
      <c r="AJ6" s="6" t="n">
        <v>0.25</v>
      </c>
      <c r="AK6" s="5" t="n">
        <v>0.5</v>
      </c>
      <c r="AL6" s="6" t="n">
        <v>0</v>
      </c>
      <c r="AM6" s="6" t="n">
        <v>0</v>
      </c>
      <c r="AN6" s="6" t="n">
        <v>0.25</v>
      </c>
      <c r="AO6" s="2" t="inlineStr"/>
      <c r="AP6" s="4" t="n">
        <v>0.75</v>
      </c>
    </row>
    <row r="7">
      <c r="A7" s="9" t="inlineStr">
        <is>
          <t>Peer Median</t>
        </is>
      </c>
      <c r="B7" s="9" t="inlineStr">
        <is>
          <t>Peer Group Median</t>
        </is>
      </c>
      <c r="C7" s="9">
        <f>MEDIAN(C2:C6)</f>
        <v/>
      </c>
      <c r="D7" s="9">
        <f>MEDIAN(D2:D6)</f>
        <v/>
      </c>
      <c r="E7" s="9">
        <f>MEDIAN(E2:E6)</f>
        <v/>
      </c>
      <c r="F7" s="9">
        <f>MEDIAN(F2:F6)</f>
        <v/>
      </c>
      <c r="G7" s="9">
        <f>MEDIAN(G2:G6)</f>
        <v/>
      </c>
      <c r="H7" s="9">
        <f>MEDIAN(H2:H6)</f>
        <v/>
      </c>
      <c r="I7" s="9">
        <f>MEDIAN(I2:I6)</f>
        <v/>
      </c>
      <c r="J7" s="9">
        <f>MEDIAN(J2:J6)</f>
        <v/>
      </c>
      <c r="K7" s="9">
        <f>MEDIAN(K2:K6)</f>
        <v/>
      </c>
      <c r="L7" s="9">
        <f>MEDIAN(L2:L6)</f>
        <v/>
      </c>
      <c r="M7" s="9">
        <f>MEDIAN(M2:M6)</f>
        <v/>
      </c>
      <c r="N7" s="9">
        <f>MEDIAN(N2:N6)</f>
        <v/>
      </c>
      <c r="O7" s="9">
        <f>MEDIAN(O2:O6)</f>
        <v/>
      </c>
      <c r="P7" s="9">
        <f>MEDIAN(P2:P6)</f>
        <v/>
      </c>
      <c r="Q7" s="9">
        <f>MEDIAN(Q2:Q6)</f>
        <v/>
      </c>
      <c r="R7" s="9">
        <f>MEDIAN(R2:R6)</f>
        <v/>
      </c>
      <c r="S7" s="9">
        <f>MEDIAN(S2:S6)</f>
        <v/>
      </c>
      <c r="T7" s="9">
        <f>MEDIAN(T2:T6)</f>
        <v/>
      </c>
      <c r="U7" s="9">
        <f>MEDIAN(U2:U6)</f>
        <v/>
      </c>
      <c r="V7" s="9">
        <f>MEDIAN(V2:V6)</f>
        <v/>
      </c>
      <c r="W7" s="9">
        <f>MEDIAN(W2:W6)</f>
        <v/>
      </c>
      <c r="X7" s="9">
        <f>MEDIAN(X2:X6)</f>
        <v/>
      </c>
      <c r="Y7" s="9">
        <f>MEDIAN(Y2:Y6)</f>
        <v/>
      </c>
      <c r="Z7" s="9">
        <f>MEDIAN(Z2:Z6)</f>
        <v/>
      </c>
      <c r="AA7" s="9">
        <f>MEDIAN(AA2:AA6)</f>
        <v/>
      </c>
      <c r="AB7" s="9">
        <f>MEDIAN(AB2:AB6)</f>
        <v/>
      </c>
      <c r="AC7" s="9">
        <f>MEDIAN(AC2:AC6)</f>
        <v/>
      </c>
      <c r="AD7" s="9">
        <f>MEDIAN(AD2:AD6)</f>
        <v/>
      </c>
      <c r="AE7" s="9">
        <f>MEDIAN(AE2:AE6)</f>
        <v/>
      </c>
      <c r="AF7" s="9">
        <f>MEDIAN(AF2:AF6)</f>
        <v/>
      </c>
      <c r="AG7" s="9">
        <f>MEDIAN(AG2:AG6)</f>
        <v/>
      </c>
      <c r="AH7" s="9">
        <f>MEDIAN(AH2:AH6)</f>
        <v/>
      </c>
      <c r="AI7" s="9">
        <f>MEDIAN(AI2:AI6)</f>
        <v/>
      </c>
      <c r="AJ7" s="9">
        <f>MEDIAN(AJ2:AJ6)</f>
        <v/>
      </c>
      <c r="AK7" s="9">
        <f>MEDIAN(AK2:AK6)</f>
        <v/>
      </c>
      <c r="AL7" s="9">
        <f>MEDIAN(AL2:AL6)</f>
        <v/>
      </c>
      <c r="AM7" s="9">
        <f>MEDIAN(AM2:AM6)</f>
        <v/>
      </c>
      <c r="AN7" s="9">
        <f>MEDIAN(AN2:AN6)</f>
        <v/>
      </c>
      <c r="AO7" s="9">
        <f>MEDIAN(AO2:AO6)</f>
        <v/>
      </c>
      <c r="AP7" s="9">
        <f>MEDIAN(AP2:AP6)</f>
        <v/>
      </c>
    </row>
  </sheetData>
  <autoFilter ref="A1:AP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Operating Profit Margin</t>
        </is>
      </c>
      <c r="G1" s="1" t="inlineStr">
        <is>
          <t>D/E</t>
        </is>
      </c>
      <c r="H1" s="1" t="inlineStr">
        <is>
          <t>Interest Coverage</t>
        </is>
      </c>
      <c r="I1" s="1" t="inlineStr">
        <is>
          <t>Asset Turnover</t>
        </is>
      </c>
      <c r="J1" s="1" t="inlineStr">
        <is>
          <t>Free Cash Flow</t>
        </is>
      </c>
      <c r="K1" s="1" t="inlineStr">
        <is>
          <t>Cash From Operations</t>
        </is>
      </c>
      <c r="L1" s="1" t="inlineStr">
        <is>
          <t>PAT CAGR 5yr</t>
        </is>
      </c>
      <c r="M1" s="1" t="inlineStr">
        <is>
          <t>Revenue CAGR 5yr</t>
        </is>
      </c>
      <c r="N1" s="1" t="inlineStr">
        <is>
          <t>EPS CAGR 5yr</t>
        </is>
      </c>
      <c r="O1" s="1" t="inlineStr">
        <is>
          <t>Net Profit</t>
        </is>
      </c>
      <c r="P1" s="1" t="inlineStr">
        <is>
          <t>Sales</t>
        </is>
      </c>
      <c r="Q1" s="1" t="inlineStr">
        <is>
          <t>P/E</t>
        </is>
      </c>
      <c r="R1" s="1" t="inlineStr">
        <is>
          <t>P/B</t>
        </is>
      </c>
      <c r="S1" s="1" t="inlineStr">
        <is>
          <t>EV/EBITDA</t>
        </is>
      </c>
      <c r="T1" s="1" t="inlineStr">
        <is>
          <t>Dividend Yield</t>
        </is>
      </c>
      <c r="U1" s="1" t="inlineStr">
        <is>
          <t>Dividend Payout</t>
        </is>
      </c>
      <c r="V1" s="1" t="inlineStr">
        <is>
          <t>Composite Score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Operating Profit Margin Percentile</t>
        </is>
      </c>
      <c r="AA1" s="1" t="inlineStr">
        <is>
          <t>D/E Percentile</t>
        </is>
      </c>
      <c r="AB1" s="1" t="inlineStr">
        <is>
          <t>Interest Coverage Percentile</t>
        </is>
      </c>
      <c r="AC1" s="1" t="inlineStr">
        <is>
          <t>Asset Turnover Percentile</t>
        </is>
      </c>
      <c r="AD1" s="1" t="inlineStr">
        <is>
          <t>Free Cash Flow Percentile</t>
        </is>
      </c>
      <c r="AE1" s="1" t="inlineStr">
        <is>
          <t>Cash From Operations Percentile</t>
        </is>
      </c>
      <c r="AF1" s="1" t="inlineStr">
        <is>
          <t>PAT CAGR 5yr Percentile</t>
        </is>
      </c>
      <c r="AG1" s="1" t="inlineStr">
        <is>
          <t>Revenue CAGR 5yr Percentile</t>
        </is>
      </c>
      <c r="AH1" s="1" t="inlineStr">
        <is>
          <t>EPS CAGR 5yr Percentile</t>
        </is>
      </c>
      <c r="AI1" s="1" t="inlineStr">
        <is>
          <t>Net Profit Percentile</t>
        </is>
      </c>
      <c r="AJ1" s="1" t="inlineStr">
        <is>
          <t>Sales Percentile</t>
        </is>
      </c>
      <c r="AK1" s="1" t="inlineStr">
        <is>
          <t>P/E Percentile</t>
        </is>
      </c>
      <c r="AL1" s="1" t="inlineStr">
        <is>
          <t>P/B Percentile</t>
        </is>
      </c>
      <c r="AM1" s="1" t="inlineStr">
        <is>
          <t>EV/EBITDA Percentile</t>
        </is>
      </c>
      <c r="AN1" s="1" t="inlineStr">
        <is>
          <t>Dividend Yield Percentile</t>
        </is>
      </c>
      <c r="AO1" s="1" t="inlineStr">
        <is>
          <t>Dividend Payout Percentile</t>
        </is>
      </c>
      <c r="AP1" s="1" t="inlineStr">
        <is>
          <t>Composite Score Percentile</t>
        </is>
      </c>
    </row>
    <row r="2">
      <c r="A2" s="2" t="inlineStr">
        <is>
          <t>BANKBARODA</t>
        </is>
      </c>
      <c r="B2" s="2" t="inlineStr">
        <is>
          <t>Bank of Baroda</t>
        </is>
      </c>
      <c r="C2" s="3" t="n">
        <v>15.7618637908999</v>
      </c>
      <c r="D2" s="3" t="n">
        <v>2.820446985460198</v>
      </c>
      <c r="E2" s="3" t="n">
        <v>15.93948250956673</v>
      </c>
      <c r="F2" s="3" t="n">
        <v>37.4889127294537</v>
      </c>
      <c r="G2" s="3" t="n">
        <v>12.14371872728943</v>
      </c>
      <c r="H2" s="3" t="n">
        <v>1.896747724261721</v>
      </c>
      <c r="I2" s="3" t="n">
        <v>0.07153782236255685</v>
      </c>
      <c r="J2" s="3" t="n">
        <v>-7559</v>
      </c>
      <c r="K2" s="3" t="n">
        <v>-6274</v>
      </c>
      <c r="L2" s="3" t="n">
        <v>74.50588066551305</v>
      </c>
      <c r="M2" s="3" t="n">
        <v>17.47729766589094</v>
      </c>
      <c r="N2" s="3" t="n">
        <v>55.18455739153598</v>
      </c>
      <c r="O2" s="3" t="n">
        <v>20144</v>
      </c>
      <c r="P2" s="3" t="n">
        <v>124144</v>
      </c>
      <c r="Q2" s="3" t="n">
        <v>16.89</v>
      </c>
      <c r="R2" s="3" t="n">
        <v>4.15</v>
      </c>
      <c r="S2" s="3" t="n">
        <v>24.7</v>
      </c>
      <c r="T2" s="3" t="n">
        <v>2.62</v>
      </c>
      <c r="U2" s="2" t="inlineStr"/>
      <c r="V2" s="3" t="n">
        <v>40.37275354128526</v>
      </c>
      <c r="W2" s="6" t="n">
        <v>0</v>
      </c>
      <c r="X2" s="6" t="n">
        <v>0</v>
      </c>
      <c r="Y2" s="4" t="n">
        <v>1</v>
      </c>
      <c r="Z2" s="6" t="n">
        <v>0</v>
      </c>
      <c r="AA2" s="5" t="n">
        <v>0.5</v>
      </c>
      <c r="AB2" s="4" t="n">
        <v>1</v>
      </c>
      <c r="AC2" s="6" t="n">
        <v>0</v>
      </c>
      <c r="AD2" s="5" t="n">
        <v>0.5</v>
      </c>
      <c r="AE2" s="5" t="n">
        <v>0.5</v>
      </c>
      <c r="AF2" s="6" t="n">
        <v>0</v>
      </c>
      <c r="AG2" s="5" t="n">
        <v>0.5</v>
      </c>
      <c r="AH2" s="4" t="n">
        <v>1</v>
      </c>
      <c r="AI2" s="4" t="n">
        <v>1</v>
      </c>
      <c r="AJ2" s="4" t="n">
        <v>1</v>
      </c>
      <c r="AK2" s="6" t="n">
        <v>0</v>
      </c>
      <c r="AL2" s="6" t="n">
        <v>0</v>
      </c>
      <c r="AM2" s="5" t="n">
        <v>0.5</v>
      </c>
      <c r="AN2" s="5" t="n">
        <v>0.5</v>
      </c>
      <c r="AO2" s="2" t="inlineStr"/>
      <c r="AP2" s="5" t="n">
        <v>0.5</v>
      </c>
    </row>
    <row r="3">
      <c r="A3" s="2" t="inlineStr">
        <is>
          <t>CANBK</t>
        </is>
      </c>
      <c r="B3" s="2" t="inlineStr">
        <is>
          <t>Canara Bank</t>
        </is>
      </c>
      <c r="C3" s="3" t="n">
        <v>16.71605179468811</v>
      </c>
      <c r="D3" s="3" t="n">
        <v>3.15654898752525</v>
      </c>
      <c r="E3" s="3" t="n">
        <v>13.93516047014541</v>
      </c>
      <c r="F3" s="3" t="n">
        <v>41.75390656810141</v>
      </c>
      <c r="G3" s="3" t="n">
        <v>14.86741992554242</v>
      </c>
      <c r="H3" s="3" t="n">
        <v>1.610661174334986</v>
      </c>
      <c r="I3" s="3" t="n">
        <v>0.0719985042520674</v>
      </c>
      <c r="J3" s="3" t="n">
        <v>13296</v>
      </c>
      <c r="K3" s="3" t="n">
        <v>15046</v>
      </c>
      <c r="L3" s="3" t="n">
        <v>85.7752850068174</v>
      </c>
      <c r="M3" s="3" t="n">
        <v>18.17561078322378</v>
      </c>
      <c r="N3" s="3" t="n">
        <v>53.4206382524911</v>
      </c>
      <c r="O3" s="3" t="n">
        <v>16571</v>
      </c>
      <c r="P3" s="3" t="n">
        <v>119392</v>
      </c>
      <c r="Q3" s="3" t="n">
        <v>36.74</v>
      </c>
      <c r="R3" s="3" t="n">
        <v>12.61</v>
      </c>
      <c r="S3" s="3" t="n">
        <v>25.23</v>
      </c>
      <c r="T3" s="3" t="n">
        <v>3.81</v>
      </c>
      <c r="U3" s="2" t="inlineStr"/>
      <c r="V3" s="3" t="n">
        <v>38.99386006271148</v>
      </c>
      <c r="W3" s="5" t="n">
        <v>0.5</v>
      </c>
      <c r="X3" s="4" t="n">
        <v>1</v>
      </c>
      <c r="Y3" s="5" t="n">
        <v>0.5</v>
      </c>
      <c r="Z3" s="4" t="n">
        <v>1</v>
      </c>
      <c r="AA3" s="6" t="n">
        <v>0</v>
      </c>
      <c r="AB3" s="6" t="n">
        <v>0</v>
      </c>
      <c r="AC3" s="5" t="n">
        <v>0.5</v>
      </c>
      <c r="AD3" s="4" t="n">
        <v>1</v>
      </c>
      <c r="AE3" s="4" t="n">
        <v>1</v>
      </c>
      <c r="AF3" s="4" t="n">
        <v>1</v>
      </c>
      <c r="AG3" s="4" t="n">
        <v>1</v>
      </c>
      <c r="AH3" s="6" t="n">
        <v>0</v>
      </c>
      <c r="AI3" s="5" t="n">
        <v>0.5</v>
      </c>
      <c r="AJ3" s="5" t="n">
        <v>0.5</v>
      </c>
      <c r="AK3" s="4" t="n">
        <v>1</v>
      </c>
      <c r="AL3" s="4" t="n">
        <v>1</v>
      </c>
      <c r="AM3" s="4" t="n">
        <v>1</v>
      </c>
      <c r="AN3" s="4" t="n">
        <v>1</v>
      </c>
      <c r="AO3" s="2" t="inlineStr"/>
      <c r="AP3" s="6" t="n">
        <v>0</v>
      </c>
    </row>
    <row r="4">
      <c r="A4" s="2" t="inlineStr">
        <is>
          <t>PNB</t>
        </is>
      </c>
      <c r="B4" s="2" t="inlineStr">
        <is>
          <t>Punjab National Bank</t>
        </is>
      </c>
      <c r="C4" s="3" t="n">
        <v>61.32056519118731</v>
      </c>
      <c r="D4" s="2" t="inlineStr"/>
      <c r="E4" s="3" t="n">
        <v>8.395910695456838</v>
      </c>
      <c r="F4" s="2" t="inlineStr"/>
      <c r="G4" s="3" t="n">
        <v>3.684256345007701</v>
      </c>
      <c r="H4" s="2" t="inlineStr"/>
      <c r="I4" s="3" t="n">
        <v>1.50702629506294</v>
      </c>
      <c r="J4" s="3" t="n">
        <v>-29445</v>
      </c>
      <c r="K4" s="3" t="n">
        <v>-27939</v>
      </c>
      <c r="L4" s="2" t="inlineStr"/>
      <c r="M4" s="3" t="n">
        <v>15.90207600910603</v>
      </c>
      <c r="N4" s="2" t="inlineStr"/>
      <c r="O4" s="3" t="n">
        <v>14535</v>
      </c>
      <c r="P4" s="3" t="n">
        <v>116126</v>
      </c>
      <c r="Q4" s="3" t="n">
        <v>19.29</v>
      </c>
      <c r="R4" s="3" t="n">
        <v>10.91</v>
      </c>
      <c r="S4" s="3" t="n">
        <v>23.64</v>
      </c>
      <c r="T4" s="3" t="n">
        <v>1.32</v>
      </c>
      <c r="U4" s="2" t="inlineStr"/>
      <c r="V4" s="3" t="n">
        <v>51.82704052876388</v>
      </c>
      <c r="W4" s="4" t="n">
        <v>1</v>
      </c>
      <c r="X4" s="2" t="inlineStr"/>
      <c r="Y4" s="6" t="n">
        <v>0</v>
      </c>
      <c r="Z4" s="2" t="inlineStr"/>
      <c r="AA4" s="4" t="n">
        <v>1</v>
      </c>
      <c r="AB4" s="2" t="inlineStr"/>
      <c r="AC4" s="4" t="n">
        <v>1</v>
      </c>
      <c r="AD4" s="6" t="n">
        <v>0</v>
      </c>
      <c r="AE4" s="6" t="n">
        <v>0</v>
      </c>
      <c r="AF4" s="2" t="inlineStr"/>
      <c r="AG4" s="6" t="n">
        <v>0</v>
      </c>
      <c r="AH4" s="2" t="inlineStr"/>
      <c r="AI4" s="6" t="n">
        <v>0</v>
      </c>
      <c r="AJ4" s="6" t="n">
        <v>0</v>
      </c>
      <c r="AK4" s="5" t="n">
        <v>0.5</v>
      </c>
      <c r="AL4" s="5" t="n">
        <v>0.5</v>
      </c>
      <c r="AM4" s="6" t="n">
        <v>0</v>
      </c>
      <c r="AN4" s="6" t="n">
        <v>0</v>
      </c>
      <c r="AO4" s="2" t="inlineStr"/>
      <c r="AP4" s="4" t="n">
        <v>1</v>
      </c>
    </row>
    <row r="5">
      <c r="A5" s="7" t="inlineStr">
        <is>
          <t>SBIN</t>
        </is>
      </c>
      <c r="B5" s="7" t="inlineStr">
        <is>
          <t>State Bank of India</t>
        </is>
      </c>
      <c r="C5" s="7" t="inlineStr"/>
      <c r="D5" s="7" t="inlineStr"/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</row>
    <row r="6">
      <c r="A6" s="9" t="inlineStr">
        <is>
          <t>Peer Median</t>
        </is>
      </c>
      <c r="B6" s="9" t="inlineStr">
        <is>
          <t>Peer Group Median</t>
        </is>
      </c>
      <c r="C6" s="9">
        <f>MEDIAN(C2:C5)</f>
        <v/>
      </c>
      <c r="D6" s="9">
        <f>MEDIAN(D2:D5)</f>
        <v/>
      </c>
      <c r="E6" s="9">
        <f>MEDIAN(E2:E5)</f>
        <v/>
      </c>
      <c r="F6" s="9">
        <f>MEDIAN(F2:F5)</f>
        <v/>
      </c>
      <c r="G6" s="9">
        <f>MEDIAN(G2:G5)</f>
        <v/>
      </c>
      <c r="H6" s="9">
        <f>MEDIAN(H2:H5)</f>
        <v/>
      </c>
      <c r="I6" s="9">
        <f>MEDIAN(I2:I5)</f>
        <v/>
      </c>
      <c r="J6" s="9">
        <f>MEDIAN(J2:J5)</f>
        <v/>
      </c>
      <c r="K6" s="9">
        <f>MEDIAN(K2:K5)</f>
        <v/>
      </c>
      <c r="L6" s="9">
        <f>MEDIAN(L2:L5)</f>
        <v/>
      </c>
      <c r="M6" s="9">
        <f>MEDIAN(M2:M5)</f>
        <v/>
      </c>
      <c r="N6" s="9">
        <f>MEDIAN(N2:N5)</f>
        <v/>
      </c>
      <c r="O6" s="9">
        <f>MEDIAN(O2:O5)</f>
        <v/>
      </c>
      <c r="P6" s="9">
        <f>MEDIAN(P2:P5)</f>
        <v/>
      </c>
      <c r="Q6" s="9">
        <f>MEDIAN(Q2:Q5)</f>
        <v/>
      </c>
      <c r="R6" s="9">
        <f>MEDIAN(R2:R5)</f>
        <v/>
      </c>
      <c r="S6" s="9">
        <f>MEDIAN(S2:S5)</f>
        <v/>
      </c>
      <c r="T6" s="9">
        <f>MEDIAN(T2:T5)</f>
        <v/>
      </c>
      <c r="U6" s="9">
        <f>MEDIAN(U2:U5)</f>
        <v/>
      </c>
      <c r="V6" s="9">
        <f>MEDIAN(V2:V5)</f>
        <v/>
      </c>
      <c r="W6" s="9">
        <f>MEDIAN(W2:W5)</f>
        <v/>
      </c>
      <c r="X6" s="9">
        <f>MEDIAN(X2:X5)</f>
        <v/>
      </c>
      <c r="Y6" s="9">
        <f>MEDIAN(Y2:Y5)</f>
        <v/>
      </c>
      <c r="Z6" s="9">
        <f>MEDIAN(Z2:Z5)</f>
        <v/>
      </c>
      <c r="AA6" s="9">
        <f>MEDIAN(AA2:AA5)</f>
        <v/>
      </c>
      <c r="AB6" s="9">
        <f>MEDIAN(AB2:AB5)</f>
        <v/>
      </c>
      <c r="AC6" s="9">
        <f>MEDIAN(AC2:AC5)</f>
        <v/>
      </c>
      <c r="AD6" s="9">
        <f>MEDIAN(AD2:AD5)</f>
        <v/>
      </c>
      <c r="AE6" s="9">
        <f>MEDIAN(AE2:AE5)</f>
        <v/>
      </c>
      <c r="AF6" s="9">
        <f>MEDIAN(AF2:AF5)</f>
        <v/>
      </c>
      <c r="AG6" s="9">
        <f>MEDIAN(AG2:AG5)</f>
        <v/>
      </c>
      <c r="AH6" s="9">
        <f>MEDIAN(AH2:AH5)</f>
        <v/>
      </c>
      <c r="AI6" s="9">
        <f>MEDIAN(AI2:AI5)</f>
        <v/>
      </c>
      <c r="AJ6" s="9">
        <f>MEDIAN(AJ2:AJ5)</f>
        <v/>
      </c>
      <c r="AK6" s="9">
        <f>MEDIAN(AK2:AK5)</f>
        <v/>
      </c>
      <c r="AL6" s="9">
        <f>MEDIAN(AL2:AL5)</f>
        <v/>
      </c>
      <c r="AM6" s="9">
        <f>MEDIAN(AM2:AM5)</f>
        <v/>
      </c>
      <c r="AN6" s="9">
        <f>MEDIAN(AN2:AN5)</f>
        <v/>
      </c>
      <c r="AO6" s="9">
        <f>MEDIAN(AO2:AO5)</f>
        <v/>
      </c>
      <c r="AP6" s="9">
        <f>MEDIAN(AP2:AP5)</f>
        <v/>
      </c>
    </row>
  </sheetData>
  <autoFilter ref="A1:AP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P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</cols>
  <sheetData>
    <row r="1" ht="42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ROE</t>
        </is>
      </c>
      <c r="D1" s="1" t="inlineStr">
        <is>
          <t>ROCE</t>
        </is>
      </c>
      <c r="E1" s="1" t="inlineStr">
        <is>
          <t>Net Profit Margin</t>
        </is>
      </c>
      <c r="F1" s="1" t="inlineStr">
        <is>
          <t>Operating Profit Margin</t>
        </is>
      </c>
      <c r="G1" s="1" t="inlineStr">
        <is>
          <t>D/E</t>
        </is>
      </c>
      <c r="H1" s="1" t="inlineStr">
        <is>
          <t>Interest Coverage</t>
        </is>
      </c>
      <c r="I1" s="1" t="inlineStr">
        <is>
          <t>Asset Turnover</t>
        </is>
      </c>
      <c r="J1" s="1" t="inlineStr">
        <is>
          <t>Free Cash Flow</t>
        </is>
      </c>
      <c r="K1" s="1" t="inlineStr">
        <is>
          <t>Cash From Operations</t>
        </is>
      </c>
      <c r="L1" s="1" t="inlineStr">
        <is>
          <t>PAT CAGR 5yr</t>
        </is>
      </c>
      <c r="M1" s="1" t="inlineStr">
        <is>
          <t>Revenue CAGR 5yr</t>
        </is>
      </c>
      <c r="N1" s="1" t="inlineStr">
        <is>
          <t>EPS CAGR 5yr</t>
        </is>
      </c>
      <c r="O1" s="1" t="inlineStr">
        <is>
          <t>Net Profit</t>
        </is>
      </c>
      <c r="P1" s="1" t="inlineStr">
        <is>
          <t>Sales</t>
        </is>
      </c>
      <c r="Q1" s="1" t="inlineStr">
        <is>
          <t>P/E</t>
        </is>
      </c>
      <c r="R1" s="1" t="inlineStr">
        <is>
          <t>P/B</t>
        </is>
      </c>
      <c r="S1" s="1" t="inlineStr">
        <is>
          <t>EV/EBITDA</t>
        </is>
      </c>
      <c r="T1" s="1" t="inlineStr">
        <is>
          <t>Dividend Yield</t>
        </is>
      </c>
      <c r="U1" s="1" t="inlineStr">
        <is>
          <t>Dividend Payout</t>
        </is>
      </c>
      <c r="V1" s="1" t="inlineStr">
        <is>
          <t>Composite Score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Net Profit Margin Percentile</t>
        </is>
      </c>
      <c r="Z1" s="1" t="inlineStr">
        <is>
          <t>Operating Profit Margin Percentile</t>
        </is>
      </c>
      <c r="AA1" s="1" t="inlineStr">
        <is>
          <t>D/E Percentile</t>
        </is>
      </c>
      <c r="AB1" s="1" t="inlineStr">
        <is>
          <t>Interest Coverage Percentile</t>
        </is>
      </c>
      <c r="AC1" s="1" t="inlineStr">
        <is>
          <t>Asset Turnover Percentile</t>
        </is>
      </c>
      <c r="AD1" s="1" t="inlineStr">
        <is>
          <t>Free Cash Flow Percentile</t>
        </is>
      </c>
      <c r="AE1" s="1" t="inlineStr">
        <is>
          <t>Cash From Operations Percentile</t>
        </is>
      </c>
      <c r="AF1" s="1" t="inlineStr">
        <is>
          <t>PAT CAGR 5yr Percentile</t>
        </is>
      </c>
      <c r="AG1" s="1" t="inlineStr">
        <is>
          <t>Revenue CAGR 5yr Percentile</t>
        </is>
      </c>
      <c r="AH1" s="1" t="inlineStr">
        <is>
          <t>EPS CAGR 5yr Percentile</t>
        </is>
      </c>
      <c r="AI1" s="1" t="inlineStr">
        <is>
          <t>Net Profit Percentile</t>
        </is>
      </c>
      <c r="AJ1" s="1" t="inlineStr">
        <is>
          <t>Sales Percentile</t>
        </is>
      </c>
      <c r="AK1" s="1" t="inlineStr">
        <is>
          <t>P/E Percentile</t>
        </is>
      </c>
      <c r="AL1" s="1" t="inlineStr">
        <is>
          <t>P/B Percentile</t>
        </is>
      </c>
      <c r="AM1" s="1" t="inlineStr">
        <is>
          <t>EV/EBITDA Percentile</t>
        </is>
      </c>
      <c r="AN1" s="1" t="inlineStr">
        <is>
          <t>Dividend Yield Percentile</t>
        </is>
      </c>
      <c r="AO1" s="1" t="inlineStr">
        <is>
          <t>Dividend Payout Percentile</t>
        </is>
      </c>
      <c r="AP1" s="1" t="inlineStr">
        <is>
          <t>Composite Score Percentile</t>
        </is>
      </c>
    </row>
    <row r="2">
      <c r="A2" s="2" t="inlineStr">
        <is>
          <t>HINDALCO</t>
        </is>
      </c>
      <c r="B2" s="2" t="inlineStr">
        <is>
          <t>Hindalco Industries Ltd</t>
        </is>
      </c>
      <c r="C2" s="3" t="n">
        <v>9.567011474761177</v>
      </c>
      <c r="D2" s="3" t="n">
        <v>118.2077759042966</v>
      </c>
      <c r="E2" s="3" t="n">
        <v>4.702216130615571</v>
      </c>
      <c r="F2" s="3" t="n">
        <v>88.94620349876368</v>
      </c>
      <c r="G2" s="3" t="n">
        <v>0.5309290976579428</v>
      </c>
      <c r="H2" s="3" t="n">
        <v>126.4654377880184</v>
      </c>
      <c r="I2" s="3" t="n">
        <v>0.9360228499109322</v>
      </c>
      <c r="J2" s="3" t="n">
        <v>9789</v>
      </c>
      <c r="K2" s="3" t="n">
        <v>24056</v>
      </c>
      <c r="L2" s="3" t="n">
        <v>13.06871230695661</v>
      </c>
      <c r="M2" s="3" t="n">
        <v>10.59243381898591</v>
      </c>
      <c r="N2" s="3" t="n">
        <v>13.39665776330272</v>
      </c>
      <c r="O2" s="3" t="n">
        <v>12488</v>
      </c>
      <c r="P2" s="3" t="n">
        <v>224018</v>
      </c>
      <c r="Q2" s="3" t="n">
        <v>56.45</v>
      </c>
      <c r="R2" s="3" t="n">
        <v>9.32</v>
      </c>
      <c r="S2" s="3" t="n">
        <v>27.63</v>
      </c>
      <c r="T2" s="3" t="n">
        <v>0.98</v>
      </c>
      <c r="U2" s="2" t="inlineStr"/>
      <c r="V2" s="3" t="n">
        <v>54.45072455894334</v>
      </c>
      <c r="W2" s="5" t="n">
        <v>0.3333333333333333</v>
      </c>
      <c r="X2" s="4" t="n">
        <v>1</v>
      </c>
      <c r="Y2" s="5" t="n">
        <v>0.3333333333333333</v>
      </c>
      <c r="Z2" s="4" t="n">
        <v>1</v>
      </c>
      <c r="AA2" s="5" t="n">
        <v>0.6666666666666667</v>
      </c>
      <c r="AB2" s="4" t="n">
        <v>1</v>
      </c>
      <c r="AC2" s="4" t="n">
        <v>1</v>
      </c>
      <c r="AD2" s="4" t="n">
        <v>1</v>
      </c>
      <c r="AE2" s="4" t="n">
        <v>1</v>
      </c>
      <c r="AF2" s="4" t="n">
        <v>1</v>
      </c>
      <c r="AG2" s="5" t="n">
        <v>0.6666666666666666</v>
      </c>
      <c r="AH2" s="4" t="n">
        <v>1</v>
      </c>
      <c r="AI2" s="4" t="n">
        <v>1</v>
      </c>
      <c r="AJ2" s="4" t="n">
        <v>1</v>
      </c>
      <c r="AK2" s="5" t="n">
        <v>0.3333333333333333</v>
      </c>
      <c r="AL2" s="4" t="n">
        <v>1</v>
      </c>
      <c r="AM2" s="5" t="n">
        <v>0.3333333333333333</v>
      </c>
      <c r="AN2" s="6" t="n">
        <v>0</v>
      </c>
      <c r="AO2" s="2" t="inlineStr"/>
      <c r="AP2" s="5" t="n">
        <v>0.6666666666666666</v>
      </c>
    </row>
    <row r="3">
      <c r="A3" s="2" t="inlineStr">
        <is>
          <t>JINDALSTEL</t>
        </is>
      </c>
      <c r="B3" s="2" t="inlineStr">
        <is>
          <t>Jindal Steel &amp; Power Ltd</t>
        </is>
      </c>
      <c r="C3" s="3" t="n">
        <v>13.4105063633902</v>
      </c>
      <c r="D3" s="3" t="n">
        <v>16.78291768112127</v>
      </c>
      <c r="E3" s="3" t="n">
        <v>11.80243873376494</v>
      </c>
      <c r="F3" s="3" t="n">
        <v>20.26055526869762</v>
      </c>
      <c r="G3" s="3" t="n">
        <v>0.3716941962270963</v>
      </c>
      <c r="H3" s="3" t="n">
        <v>8.004636785162287</v>
      </c>
      <c r="I3" s="3" t="n">
        <v>0.6400172860847018</v>
      </c>
      <c r="J3" s="3" t="n">
        <v>-2336</v>
      </c>
      <c r="K3" s="3" t="n">
        <v>6008</v>
      </c>
      <c r="L3" s="2" t="inlineStr"/>
      <c r="M3" s="3" t="n">
        <v>1.402831094774171</v>
      </c>
      <c r="N3" s="2" t="inlineStr"/>
      <c r="O3" s="3" t="n">
        <v>5060</v>
      </c>
      <c r="P3" s="3" t="n">
        <v>50019</v>
      </c>
      <c r="Q3" s="3" t="n">
        <v>77.64</v>
      </c>
      <c r="R3" s="3" t="n">
        <v>5.73</v>
      </c>
      <c r="S3" s="3" t="n">
        <v>20.22</v>
      </c>
      <c r="T3" s="3" t="n">
        <v>1.9</v>
      </c>
      <c r="U3" s="2" t="inlineStr"/>
      <c r="V3" s="3" t="n">
        <v>56.25707400971115</v>
      </c>
      <c r="W3" s="4" t="n">
        <v>1</v>
      </c>
      <c r="X3" s="5" t="n">
        <v>0.3333333333333333</v>
      </c>
      <c r="Y3" s="4" t="n">
        <v>1</v>
      </c>
      <c r="Z3" s="5" t="n">
        <v>0.6666666666666666</v>
      </c>
      <c r="AA3" s="4" t="n">
        <v>1</v>
      </c>
      <c r="AB3" s="5" t="n">
        <v>0.6666666666666666</v>
      </c>
      <c r="AC3" s="6" t="n">
        <v>0</v>
      </c>
      <c r="AD3" s="5" t="n">
        <v>0.3333333333333333</v>
      </c>
      <c r="AE3" s="6" t="n">
        <v>0</v>
      </c>
      <c r="AF3" s="2" t="inlineStr"/>
      <c r="AG3" s="6" t="n">
        <v>0</v>
      </c>
      <c r="AH3" s="2" t="inlineStr"/>
      <c r="AI3" s="5" t="n">
        <v>0.6666666666666666</v>
      </c>
      <c r="AJ3" s="6" t="n">
        <v>0</v>
      </c>
      <c r="AK3" s="4" t="n">
        <v>1</v>
      </c>
      <c r="AL3" s="5" t="n">
        <v>0.3333333333333333</v>
      </c>
      <c r="AM3" s="6" t="n">
        <v>0</v>
      </c>
      <c r="AN3" s="5" t="n">
        <v>0.6666666666666666</v>
      </c>
      <c r="AO3" s="2" t="inlineStr"/>
      <c r="AP3" s="4" t="n">
        <v>1</v>
      </c>
    </row>
    <row r="4">
      <c r="A4" s="2" t="inlineStr">
        <is>
          <t>JSWSTEEL</t>
        </is>
      </c>
      <c r="B4" s="2" t="inlineStr">
        <is>
          <t>JSW Steel Ltd</t>
        </is>
      </c>
      <c r="C4" s="3" t="n">
        <v>11.5528718021347</v>
      </c>
      <c r="D4" s="3" t="n">
        <v>16.99757927716371</v>
      </c>
      <c r="E4" s="3" t="n">
        <v>5.127252779904689</v>
      </c>
      <c r="F4" s="3" t="n">
        <v>16.08916265728032</v>
      </c>
      <c r="G4" s="3" t="n">
        <v>1.132807168883338</v>
      </c>
      <c r="H4" s="3" t="n">
        <v>3.659099321406539</v>
      </c>
      <c r="I4" s="3" t="n">
        <v>0.7679137157851319</v>
      </c>
      <c r="J4" s="3" t="n">
        <v>-2389</v>
      </c>
      <c r="K4" s="3" t="n">
        <v>12078</v>
      </c>
      <c r="L4" s="3" t="n">
        <v>3.585216043903361</v>
      </c>
      <c r="M4" s="3" t="n">
        <v>15.60469505245279</v>
      </c>
      <c r="N4" s="3" t="n">
        <v>2.383625553960966</v>
      </c>
      <c r="O4" s="3" t="n">
        <v>3312</v>
      </c>
      <c r="P4" s="3" t="n">
        <v>170274</v>
      </c>
      <c r="Q4" s="3" t="n">
        <v>69.27</v>
      </c>
      <c r="R4" s="3" t="n">
        <v>4.37</v>
      </c>
      <c r="S4" s="3" t="n">
        <v>35.49</v>
      </c>
      <c r="T4" s="3" t="n">
        <v>2.94</v>
      </c>
      <c r="U4" s="2" t="inlineStr"/>
      <c r="V4" s="3" t="n">
        <v>51.62838169975426</v>
      </c>
      <c r="W4" s="5" t="n">
        <v>0.6666666666666666</v>
      </c>
      <c r="X4" s="5" t="n">
        <v>0.6666666666666666</v>
      </c>
      <c r="Y4" s="5" t="n">
        <v>0.6666666666666666</v>
      </c>
      <c r="Z4" s="5" t="n">
        <v>0.3333333333333333</v>
      </c>
      <c r="AA4" s="6" t="n">
        <v>0</v>
      </c>
      <c r="AB4" s="5" t="n">
        <v>0.3333333333333333</v>
      </c>
      <c r="AC4" s="5" t="n">
        <v>0.3333333333333333</v>
      </c>
      <c r="AD4" s="6" t="n">
        <v>0</v>
      </c>
      <c r="AE4" s="5" t="n">
        <v>0.3333333333333333</v>
      </c>
      <c r="AF4" s="6" t="n">
        <v>0</v>
      </c>
      <c r="AG4" s="4" t="n">
        <v>1</v>
      </c>
      <c r="AH4" s="6" t="n">
        <v>0</v>
      </c>
      <c r="AI4" s="5" t="n">
        <v>0.3333333333333333</v>
      </c>
      <c r="AJ4" s="5" t="n">
        <v>0.3333333333333333</v>
      </c>
      <c r="AK4" s="5" t="n">
        <v>0.6666666666666666</v>
      </c>
      <c r="AL4" s="6" t="n">
        <v>0</v>
      </c>
      <c r="AM4" s="5" t="n">
        <v>0.6666666666666666</v>
      </c>
      <c r="AN4" s="4" t="n">
        <v>1</v>
      </c>
      <c r="AO4" s="2" t="inlineStr"/>
      <c r="AP4" s="5" t="n">
        <v>0.3333333333333333</v>
      </c>
    </row>
    <row r="5">
      <c r="A5" s="7" t="inlineStr">
        <is>
          <t>TATASTEEL</t>
        </is>
      </c>
      <c r="B5" s="7" t="inlineStr">
        <is>
          <t xml:space="preserve">Tata Steel Ltd
</t>
        </is>
      </c>
      <c r="C5" s="8" t="n">
        <v>-5.334926929972293</v>
      </c>
      <c r="D5" s="8" t="n">
        <v>12.42093156986774</v>
      </c>
      <c r="E5" s="8" t="n">
        <v>-2.142504941724738</v>
      </c>
      <c r="F5" s="8" t="n">
        <v>9.708034611709159</v>
      </c>
      <c r="G5" s="8" t="n">
        <v>0.9461835171402184</v>
      </c>
      <c r="H5" s="8" t="n">
        <v>2.16342567927544</v>
      </c>
      <c r="I5" s="8" t="n">
        <v>0.8509498277091255</v>
      </c>
      <c r="J5" s="8" t="n">
        <v>6048</v>
      </c>
      <c r="K5" s="8" t="n">
        <v>20301</v>
      </c>
      <c r="L5" s="7" t="inlineStr"/>
      <c r="M5" s="8" t="n">
        <v>7.766224835881497</v>
      </c>
      <c r="N5" s="7" t="inlineStr"/>
      <c r="O5" s="8" t="n">
        <v>2527</v>
      </c>
      <c r="P5" s="8" t="n">
        <v>221012</v>
      </c>
      <c r="Q5" s="8" t="n">
        <v>48.97</v>
      </c>
      <c r="R5" s="8" t="n">
        <v>9.23</v>
      </c>
      <c r="S5" s="8" t="n">
        <v>38.87</v>
      </c>
      <c r="T5" s="8" t="n">
        <v>1</v>
      </c>
      <c r="U5" s="7" t="inlineStr"/>
      <c r="V5" s="8" t="n">
        <v>30.04645187246188</v>
      </c>
      <c r="W5" s="6" t="n">
        <v>0</v>
      </c>
      <c r="X5" s="6" t="n">
        <v>0</v>
      </c>
      <c r="Y5" s="6" t="n">
        <v>0</v>
      </c>
      <c r="Z5" s="6" t="n">
        <v>0</v>
      </c>
      <c r="AA5" s="5" t="n">
        <v>0.3333333333333334</v>
      </c>
      <c r="AB5" s="6" t="n">
        <v>0</v>
      </c>
      <c r="AC5" s="5" t="n">
        <v>0.6666666666666666</v>
      </c>
      <c r="AD5" s="5" t="n">
        <v>0.6666666666666666</v>
      </c>
      <c r="AE5" s="5" t="n">
        <v>0.6666666666666666</v>
      </c>
      <c r="AF5" s="2" t="inlineStr"/>
      <c r="AG5" s="5" t="n">
        <v>0.3333333333333333</v>
      </c>
      <c r="AH5" s="2" t="inlineStr"/>
      <c r="AI5" s="6" t="n">
        <v>0</v>
      </c>
      <c r="AJ5" s="5" t="n">
        <v>0.6666666666666666</v>
      </c>
      <c r="AK5" s="6" t="n">
        <v>0</v>
      </c>
      <c r="AL5" s="5" t="n">
        <v>0.6666666666666666</v>
      </c>
      <c r="AM5" s="4" t="n">
        <v>1</v>
      </c>
      <c r="AN5" s="5" t="n">
        <v>0.3333333333333333</v>
      </c>
      <c r="AO5" s="2" t="inlineStr"/>
      <c r="AP5" s="6" t="n">
        <v>0</v>
      </c>
    </row>
    <row r="6">
      <c r="A6" s="9" t="inlineStr">
        <is>
          <t>Peer Median</t>
        </is>
      </c>
      <c r="B6" s="9" t="inlineStr">
        <is>
          <t>Peer Group Median</t>
        </is>
      </c>
      <c r="C6" s="9">
        <f>MEDIAN(C2:C5)</f>
        <v/>
      </c>
      <c r="D6" s="9">
        <f>MEDIAN(D2:D5)</f>
        <v/>
      </c>
      <c r="E6" s="9">
        <f>MEDIAN(E2:E5)</f>
        <v/>
      </c>
      <c r="F6" s="9">
        <f>MEDIAN(F2:F5)</f>
        <v/>
      </c>
      <c r="G6" s="9">
        <f>MEDIAN(G2:G5)</f>
        <v/>
      </c>
      <c r="H6" s="9">
        <f>MEDIAN(H2:H5)</f>
        <v/>
      </c>
      <c r="I6" s="9">
        <f>MEDIAN(I2:I5)</f>
        <v/>
      </c>
      <c r="J6" s="9">
        <f>MEDIAN(J2:J5)</f>
        <v/>
      </c>
      <c r="K6" s="9">
        <f>MEDIAN(K2:K5)</f>
        <v/>
      </c>
      <c r="L6" s="9">
        <f>MEDIAN(L2:L5)</f>
        <v/>
      </c>
      <c r="M6" s="9">
        <f>MEDIAN(M2:M5)</f>
        <v/>
      </c>
      <c r="N6" s="9">
        <f>MEDIAN(N2:N5)</f>
        <v/>
      </c>
      <c r="O6" s="9">
        <f>MEDIAN(O2:O5)</f>
        <v/>
      </c>
      <c r="P6" s="9">
        <f>MEDIAN(P2:P5)</f>
        <v/>
      </c>
      <c r="Q6" s="9">
        <f>MEDIAN(Q2:Q5)</f>
        <v/>
      </c>
      <c r="R6" s="9">
        <f>MEDIAN(R2:R5)</f>
        <v/>
      </c>
      <c r="S6" s="9">
        <f>MEDIAN(S2:S5)</f>
        <v/>
      </c>
      <c r="T6" s="9">
        <f>MEDIAN(T2:T5)</f>
        <v/>
      </c>
      <c r="U6" s="9">
        <f>MEDIAN(U2:U5)</f>
        <v/>
      </c>
      <c r="V6" s="9">
        <f>MEDIAN(V2:V5)</f>
        <v/>
      </c>
      <c r="W6" s="9">
        <f>MEDIAN(W2:W5)</f>
        <v/>
      </c>
      <c r="X6" s="9">
        <f>MEDIAN(X2:X5)</f>
        <v/>
      </c>
      <c r="Y6" s="9">
        <f>MEDIAN(Y2:Y5)</f>
        <v/>
      </c>
      <c r="Z6" s="9">
        <f>MEDIAN(Z2:Z5)</f>
        <v/>
      </c>
      <c r="AA6" s="9">
        <f>MEDIAN(AA2:AA5)</f>
        <v/>
      </c>
      <c r="AB6" s="9">
        <f>MEDIAN(AB2:AB5)</f>
        <v/>
      </c>
      <c r="AC6" s="9">
        <f>MEDIAN(AC2:AC5)</f>
        <v/>
      </c>
      <c r="AD6" s="9">
        <f>MEDIAN(AD2:AD5)</f>
        <v/>
      </c>
      <c r="AE6" s="9">
        <f>MEDIAN(AE2:AE5)</f>
        <v/>
      </c>
      <c r="AF6" s="9">
        <f>MEDIAN(AF2:AF5)</f>
        <v/>
      </c>
      <c r="AG6" s="9">
        <f>MEDIAN(AG2:AG5)</f>
        <v/>
      </c>
      <c r="AH6" s="9">
        <f>MEDIAN(AH2:AH5)</f>
        <v/>
      </c>
      <c r="AI6" s="9">
        <f>MEDIAN(AI2:AI5)</f>
        <v/>
      </c>
      <c r="AJ6" s="9">
        <f>MEDIAN(AJ2:AJ5)</f>
        <v/>
      </c>
      <c r="AK6" s="9">
        <f>MEDIAN(AK2:AK5)</f>
        <v/>
      </c>
      <c r="AL6" s="9">
        <f>MEDIAN(AL2:AL5)</f>
        <v/>
      </c>
      <c r="AM6" s="9">
        <f>MEDIAN(AM2:AM5)</f>
        <v/>
      </c>
      <c r="AN6" s="9">
        <f>MEDIAN(AN2:AN5)</f>
        <v/>
      </c>
      <c r="AO6" s="9">
        <f>MEDIAN(AO2:AO5)</f>
        <v/>
      </c>
      <c r="AP6" s="9">
        <f>MEDIAN(AP2:AP5)</f>
        <v/>
      </c>
    </row>
  </sheetData>
  <autoFilter ref="A1:A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2026-09-23T21:29:10Z</dcterms:created>
  <dcterms:modified xsi:type="dcterms:W3CDTF">2026-09-23T21:29:10Z</dcterms:modified>
</cp:coreProperties>
</file>